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CHUNG" sheetId="1" r:id="rId5"/>
    <sheet state="visible" name="PROJECT ROADMAP" sheetId="2" r:id="rId6"/>
    <sheet state="visible" name="SNAPSHOT" sheetId="3" r:id="rId7"/>
    <sheet state="visible" name="EVALUATION TRACKER"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Ví dụ trong 1 task nào đó các bạn cần 1 output/ có 1 mốc cụ thể quan trọng</t>
      </text>
    </comment>
    <comment authorId="0" ref="C7">
      <text>
        <t xml:space="preserve">Mỗi đầu việc kéo dài bao lâu
</t>
      </text>
    </comment>
    <comment authorId="0" ref="C6">
      <text>
        <t xml:space="preserve">Cả phase sẽ kéo dài bao lâu
</t>
      </text>
    </comment>
  </commentList>
</comments>
</file>

<file path=xl/sharedStrings.xml><?xml version="1.0" encoding="utf-8"?>
<sst xmlns="http://schemas.openxmlformats.org/spreadsheetml/2006/main" count="207" uniqueCount="167">
  <si>
    <t>HITC INNOSTAR 2026 | CONTENT | [GUIDELINE CHUNG]</t>
  </si>
  <si>
    <t>GIỚI THIỆU CHUNG</t>
  </si>
  <si>
    <t>HITC INNOSTAR 2026 | CONTENT | SNAPSHOT (Đội Thi)</t>
  </si>
  <si>
    <r>
      <rPr>
        <rFont val="Times New Roman"/>
        <b/>
        <color theme="1"/>
        <sz val="13.0"/>
      </rPr>
      <t>Performance Tracking</t>
    </r>
    <r>
      <rPr>
        <rFont val="Times New Roman"/>
        <b val="0"/>
        <color theme="1"/>
        <sz val="13.0"/>
      </rPr>
      <t xml:space="preserve"> là công cụ giúp </t>
    </r>
    <r>
      <rPr>
        <rFont val="Times New Roman"/>
        <b/>
        <color theme="1"/>
        <sz val="13.0"/>
      </rPr>
      <t>đội thi và supporters</t>
    </r>
    <r>
      <rPr>
        <rFont val="Times New Roman"/>
        <b val="0"/>
        <color theme="1"/>
        <sz val="13.0"/>
      </rPr>
      <t xml:space="preserve"> theo dõi tiến độ, tương tác và đánh giá quá trình làm việc </t>
    </r>
    <r>
      <rPr>
        <rFont val="Times New Roman"/>
        <b/>
        <color theme="1"/>
        <sz val="13.0"/>
      </rPr>
      <t>xuyên suốt Vòng 2 HITC INNOSTAR 2026</t>
    </r>
    <r>
      <rPr>
        <rFont val="Times New Roman"/>
        <b val="0"/>
        <color theme="1"/>
        <sz val="13.0"/>
      </rPr>
      <t xml:space="preserve"> một cách</t>
    </r>
    <r>
      <rPr>
        <rFont val="Times New Roman"/>
        <b/>
        <color theme="1"/>
        <sz val="13.0"/>
      </rPr>
      <t xml:space="preserve"> minh bạch - thống nhất - chuyên nghiệp.
</t>
    </r>
    <r>
      <rPr>
        <rFont val="Times New Roman"/>
        <b val="0"/>
        <color theme="1"/>
        <sz val="13.0"/>
      </rPr>
      <t xml:space="preserve">Sheet gồm </t>
    </r>
    <r>
      <rPr>
        <rFont val="Times New Roman"/>
        <b/>
        <color theme="1"/>
        <sz val="13.0"/>
      </rPr>
      <t>3 phần chính:
1. SNAPSHOT
2. PROJECT ROADMAP
3. EVALUATION TRACKER</t>
    </r>
  </si>
  <si>
    <t>HITC INNOSTAR 2026 | CONTENT | PROJECT ROADMAP</t>
  </si>
  <si>
    <t>THÔNG TIN ĐỘI THI</t>
  </si>
  <si>
    <t>PHẦN</t>
  </si>
  <si>
    <t>NGƯỜI ĐIỀN</t>
  </si>
  <si>
    <t xml:space="preserve">NỘI DUNG </t>
  </si>
  <si>
    <t>HITC INNOSTAR 2026 | CONTENT | EVALUATION TRACKER</t>
  </si>
  <si>
    <t>LƯU Ý</t>
  </si>
  <si>
    <t>STT</t>
  </si>
  <si>
    <t>Họ và tên</t>
  </si>
  <si>
    <t>TRẠNG THÁI</t>
  </si>
  <si>
    <t>Vai trò</t>
  </si>
  <si>
    <t>Kinh nghiệm</t>
  </si>
  <si>
    <t>SĐT</t>
  </si>
  <si>
    <t>Email</t>
  </si>
  <si>
    <t>GIAI ĐOẠN</t>
  </si>
  <si>
    <t>THÁNG 10</t>
  </si>
  <si>
    <t>SNAPSHOT 
(Toàn cảnh tổng quan về đội thi và dự án)</t>
  </si>
  <si>
    <t>Đội thi</t>
  </si>
  <si>
    <t>- Thông tin đội thi: Danh sách thành viên, vai trò, kinh nghiệm, liên hệ.
- Thông tin dự án: Mô tả ngắn gọn, giai đoạn hiện tại, thư mục dự án.
- Hỗ trợ &amp; Kết quả: Nhu cầu hỗ trợ ở từng giai đoạn, kết quả đạt được tương ứng.</t>
  </si>
  <si>
    <t>TIÊU CHÍ CHẤM VÒNG 2</t>
  </si>
  <si>
    <t>THÁNG 11</t>
  </si>
  <si>
    <t>Nguyễn Hồng Phúc</t>
  </si>
  <si>
    <t>PROJECT ROADMAP 
(Lộ trình dự án)</t>
  </si>
  <si>
    <t>ĐÁNH GIÁ QUÁ TRÌNH</t>
  </si>
  <si>
    <t>Mục tiêu</t>
  </si>
  <si>
    <t>Đội cần cập nhật lộ trinh dự án chi tiết cho từng giai đoạn, chia theo các tuần:
- Đầu việc chính (viết ngắn gọn, thể hiện ý chính)
- Thời gian thực hiện (Start - Due)
- Mục tiêu tổng quát
- Kết quả đầu ra (Output)
- Các mốc tiến độ (Milestone)</t>
  </si>
  <si>
    <t>Trưởng dự án</t>
  </si>
  <si>
    <t>Cập nhật định kỳ hàng tuần để phản ánh đúng tiến độ.</t>
  </si>
  <si>
    <t>Kết quả đầu ra</t>
  </si>
  <si>
    <t>DỰ ÁN FARMIO - PHẦN MỀM QUẢN LÝ TÀI CHÍNH NÔNG NGHIỆP TÍCH HỢP AI
Vai trò: Team Leader &amp; Quản lý Mô hình Tài chính
•        Dẫn dắt dự án phát triển giải pháp phần mềm hỗ trợ quản lý tài chính cho doanh nghiệp nông nghiệp tích hợp trí tuệ nhân tạo (AI).
•        Xây dựng mô hình tài chính, dự báo dòng tiền, phân tích chi phí – doanh thu và đánh giá chỉ số rủi ro cho sản phẩm.
•        Thiết kế mô hình kinh doanh (Business Model Canvas), chuẩn hóa luồng nghiệp vụ tài chính cho tệp khách hàng mục tiêu.
DỰ ÁN CARBONIFY - NỀN TẢNG TRUNG GIAN TÍN CHỈ CARBON
Vai trò: Thành viên Nghiên cứu thị trường &amp; Phân tích tài chính
•        Xây dựng nền tảng trung gian kết nối doanh nghiệp với đơn vị tư vấn và nguồn cung tín chỉ carbon.
•        Nghiên cứu thị trường ESG và tiềm năng phát triển ngành tín chỉ carbon.
•        Trực tiếp xây dựng mô hình tài chính định giá và tính toán hiệu quả dự án.</t>
  </si>
  <si>
    <t>0969912006</t>
  </si>
  <si>
    <t>nguyenhongphhuclc20000gmail.com</t>
  </si>
  <si>
    <t>EVALUATION TRACKER 
(Theo dõi và đánh giá quá trình)</t>
  </si>
  <si>
    <r>
      <rPr>
        <rFont val="Times New Roman"/>
        <b/>
        <color theme="1"/>
        <sz val="12.0"/>
      </rPr>
      <t xml:space="preserve">Supporters </t>
    </r>
    <r>
      <rPr>
        <rFont val="Times New Roman"/>
        <b/>
        <i/>
        <color theme="1"/>
        <sz val="12.0"/>
      </rPr>
      <t>(Đội thi không có quyền chỉnh sửa)</t>
    </r>
  </si>
  <si>
    <t>Phạm Quốc Thanh</t>
  </si>
  <si>
    <r>
      <rPr>
        <rFont val="Times New Roman"/>
        <b/>
        <color theme="1"/>
        <sz val="12.0"/>
      </rPr>
      <t>Tỷ trọng điểm vòng 2:</t>
    </r>
    <r>
      <rPr>
        <rFont val="Times New Roman"/>
        <color theme="1"/>
        <sz val="12.0"/>
      </rPr>
      <t xml:space="preserve">
- Training: 15%
- Mentoring Session: 15%
- Pitching Day: 70%
Tuy nhiên, trong quá trình tham gia, Supporters sẽ theo dõi cả quá trình các Đội thi dựa trên thái độ làm việc (</t>
    </r>
    <r>
      <rPr>
        <rFont val="Times New Roman"/>
        <b/>
        <color theme="1"/>
        <sz val="12.0"/>
      </rPr>
      <t>chiếm 5% tổng số điểm của Training/Mentoring Session tương ứng</t>
    </r>
    <r>
      <rPr>
        <rFont val="Times New Roman"/>
        <color theme="1"/>
        <sz val="12.0"/>
      </rPr>
      <t xml:space="preserve">). Tiêu chí đánh giá chi tiết bao gồm (Trích </t>
    </r>
    <r>
      <rPr>
        <rFont val="Times New Roman"/>
        <b/>
        <i/>
        <color theme="1"/>
        <sz val="12.0"/>
      </rPr>
      <t>Điều 1 Mục II. Quy định làm việc và thái độ</t>
    </r>
    <r>
      <rPr>
        <rFont val="Times New Roman"/>
        <color theme="1"/>
        <sz val="12.0"/>
      </rPr>
      <t xml:space="preserve"> từ </t>
    </r>
    <r>
      <rPr>
        <rFont val="Times New Roman"/>
        <b/>
        <color theme="1"/>
        <sz val="12.0"/>
      </rPr>
      <t>Quy tắc tham gia HITC INNOSTAR 2026</t>
    </r>
    <r>
      <rPr>
        <rFont val="Times New Roman"/>
        <color theme="1"/>
        <sz val="12.0"/>
      </rPr>
      <t xml:space="preserve">)
- Tham gia: </t>
    </r>
    <r>
      <rPr>
        <rFont val="Times New Roman"/>
        <b/>
        <color theme="1"/>
        <sz val="12.0"/>
      </rPr>
      <t>40% Điểm thái độ</t>
    </r>
    <r>
      <rPr>
        <rFont val="Times New Roman"/>
        <color theme="1"/>
        <sz val="12.0"/>
      </rPr>
      <t xml:space="preserve">
- Tương tác: </t>
    </r>
    <r>
      <rPr>
        <rFont val="Times New Roman"/>
        <b/>
        <color theme="1"/>
        <sz val="12.0"/>
      </rPr>
      <t>30% Điểm thái độ</t>
    </r>
    <r>
      <rPr>
        <rFont val="Times New Roman"/>
        <color theme="1"/>
        <sz val="12.0"/>
      </rPr>
      <t xml:space="preserve">
- Tình trạng hoàn thiện bài tập: </t>
    </r>
    <r>
      <rPr>
        <rFont val="Times New Roman"/>
        <b/>
        <color theme="1"/>
        <sz val="12.0"/>
      </rPr>
      <t>30% Điểm thái độ</t>
    </r>
    <r>
      <rPr>
        <rFont val="Times New Roman"/>
        <color theme="1"/>
        <sz val="12.0"/>
      </rPr>
      <t xml:space="preserve">
Một số điểm trừ nếu vi phạm (Trích </t>
    </r>
    <r>
      <rPr>
        <rFont val="Times New Roman"/>
        <b/>
        <i/>
        <color theme="1"/>
        <sz val="12.0"/>
      </rPr>
      <t>Mục IV. Quy chế phạt</t>
    </r>
    <r>
      <rPr>
        <rFont val="Times New Roman"/>
        <b/>
        <color theme="1"/>
        <sz val="12.0"/>
      </rPr>
      <t xml:space="preserve"> </t>
    </r>
    <r>
      <rPr>
        <rFont val="Times New Roman"/>
        <color theme="1"/>
        <sz val="12.0"/>
      </rPr>
      <t xml:space="preserve">từ </t>
    </r>
    <r>
      <rPr>
        <rFont val="Times New Roman"/>
        <b/>
        <color theme="1"/>
        <sz val="12.0"/>
      </rPr>
      <t>Quy tắc tham gia HITC INNOSTAR 2026</t>
    </r>
    <r>
      <rPr>
        <rFont val="Times New Roman"/>
        <color theme="1"/>
        <sz val="12.0"/>
      </rPr>
      <t xml:space="preserve">)
</t>
    </r>
    <r>
      <rPr>
        <rFont val="Times New Roman"/>
        <b/>
        <color theme="1"/>
        <sz val="12.0"/>
      </rPr>
      <t>- Điều 1:</t>
    </r>
    <r>
      <rPr>
        <rFont val="Times New Roman"/>
        <color theme="1"/>
        <sz val="12.0"/>
      </rPr>
      <t xml:space="preserve"> Mỗi phút nộp bài muộn bị trừ 0.5% tổng điểm. Thời hạn nhận bài tối đa là 30 phút sau hạn nộp. Quá 30 phút, Ban Tổ chức sẽ không tiếp nhận bài thi (tính 0 điểm).
</t>
    </r>
    <r>
      <rPr>
        <rFont val="Times New Roman"/>
        <b/>
        <color theme="1"/>
        <sz val="12.0"/>
      </rPr>
      <t>- Điều 2:</t>
    </r>
    <r>
      <rPr>
        <rFont val="Times New Roman"/>
        <color theme="1"/>
        <sz val="12.0"/>
      </rPr>
      <t xml:space="preserve"> Đối với sự kiện nằm trong khuôn khổ Chương trình đội thi không có đủ số lượng thành viên tham gia theo yêu cầu của Ban Tổ chức sẽ bị trừ 3%/1 buổi trên tổng số điểm của vòng đó.
</t>
    </r>
    <r>
      <rPr>
        <rFont val="Times New Roman"/>
        <b/>
        <color theme="1"/>
        <sz val="12.0"/>
      </rPr>
      <t>- Điều 3:</t>
    </r>
    <r>
      <rPr>
        <rFont val="Times New Roman"/>
        <color theme="1"/>
        <sz val="12.0"/>
      </rPr>
      <t xml:space="preserve"> Trong trường hợp gửi bài tập về nhà muộn, đội thi sẽ bị trừ 5% tổng số điểm của vòng đó.
</t>
    </r>
    <r>
      <rPr>
        <rFont val="Times New Roman"/>
        <b/>
        <color theme="1"/>
        <sz val="12.0"/>
      </rPr>
      <t>- Điều 4:</t>
    </r>
    <r>
      <rPr>
        <rFont val="Times New Roman"/>
        <color theme="1"/>
        <sz val="12.0"/>
      </rPr>
      <t xml:space="preserve"> Đối với các trường hợp bất khả kháng, gây ảnh hưởng đến quá trình nộp bài, đội thi cần báo lại với Ban Tổ chức kèm minh chứng chính đáng. Đội thi sẽ được nộp bài muộn 3 tiếng kể từ hạn nộp bài, tuy nhiên đội thi sẽ bị trừ 30% tổng số điểm.</t>
    </r>
  </si>
  <si>
    <t>Thành viên</t>
  </si>
  <si>
    <t>W1</t>
  </si>
  <si>
    <t>- Thực tập sinh tại V-RIC (VinUni) - SV Tài chính-Ngân hàng (Đầu tư Tài chính), ĐHQT-ĐHQG HCM, CPA 3.33/4.0 (Top 10%), Thủ khoa NCKH IU RGC 2025.
- Chuyên môn: Nghiên cứu giải pháp ứng dụng trí tuệ nhân tạo, phân tích BCTC, CFA, PLS-SEM/CB SEM, Stata/R/Python/SQL, dự báo, phân tích rủi ro.
- TTS Vận hành Bán lẻ BIDV (02-04/2026): soát hồ sơ tín dụng, đối chiếu định giá TSBĐ, chuẩn hóa CRM, SmartBanking.
- NCKH: đồng tác giả N=723 (CFA/CB-SEM/PLS-SEM);Top 6 Sáng tạo trẻ Báo Nông nghiệp và Môi trường 2026 Top 9 Datathon VinUni 2026; Top 10 DAZONE 2025; #12/198 Vietnam Quant Challenge 2026; Finalist Grab Future Hackathon 2026.
- AI/ESG: Lead Architect DataTrust OS (Causal AI, anomaly 4-tier, audit SHA-256); DustGuard VN (Dust Risk Score, NĐ 45/2022 &amp; 30/2021, H.Mention Clean Air 2026); Trợ lý NCKH V-RIC x VinSmart Future (telemetry EV, RCA).</t>
  </si>
  <si>
    <t>Đội thi có thể xem và phản hồi sau khi supporters hoàn tất chấm điểm, nhằm duy trì tính minh bạch giữa hai bên.</t>
  </si>
  <si>
    <t>088991755</t>
  </si>
  <si>
    <t>W2</t>
  </si>
  <si>
    <t>shayneeo@0.id.vn</t>
  </si>
  <si>
    <t>W3</t>
  </si>
  <si>
    <t>W4</t>
  </si>
  <si>
    <t>Nguyễn Ngọc Khánh Phương</t>
  </si>
  <si>
    <t>DỰ ÁN HOME! - NỀN TẢNG TÍCH HỢP AI HỖ TRỢ THUÊ TRỌ
Vai trò: Nghiên cứu thị trường và phát triển bền vững của dự án
MEZHOME! - STARTUP TÌM MẶT BẰNG CHO THUÊ TẠI TP.HCM (thuộc MindX Startup Space)
Vai trò: Thực tập sinh nghiên cứu và khảo sát thị trường tại TP.HCM
DỰ ÁN MEALLOOP - NỀN TẢNG GIÚP DOANH NGHIỆP GIẢM LÃNG PHÍ THỰC PHẨM
Vai trò: Nghiên cứu giảm phát thải thức ăn thừa, thúc đẩy doanh nghiệp sử dụng nền tảng
CÔNG TRÌNH NCKH: "KINH TẾ TUẦN HOÀN TRONG LOGISTIC: THÁCH THỨC VÀ VAI TRÒ CỦA LOGISTIC XANH ẢNH HƯỞNG ĐẾN NIỀM TIN CỦA DOANH NGHIỆP SME TẠI VIỆT NAM" (đang thực hiện)
Vai trò: Nghiên cứu về Logistic xanh và xu hướng Logistic ảnh hưởng đến doanh nghiệp SME    Top 12 cuộc thi Vin Datathon 2026
Vai trò: Giải quyết xu hướng đề bài, phân tích chỉ số và thị trường ngách
Công ty tư vấn và đào tạo Starttrain
Vai trò: Thực tập sinh Nghiên cứu B2B về phân tích dữ liệu, trợ giảng khoá học “Phân tích kinh doanh và bài toán xanh hoá cho doanh nghiệp” tại Heineken Vietnam trong chiến dịch Evergreen30
Compath Collective - Startup về sức khoẻ tâm lý của Ireland
Vai trò: Key Account Manager, nghiên cứu hành vi khách hàng xuất phát từ môi trường tại Việt Nam</t>
  </si>
  <si>
    <t>0941674698</t>
  </si>
  <si>
    <t xml:space="preserve">27nguyenngockhanhphuong9a1@gmail.com </t>
  </si>
  <si>
    <t>TỈ TRỌNG ĐIỂM VÒNG 2</t>
  </si>
  <si>
    <t>Nguyễn Thu Thuỷ</t>
  </si>
  <si>
    <t>- Quản lý vận hành kho dự án Tết 2024 “Trọn sắc”, đạt doanh thu 1,3 tỷ VNĐ sau 83 ngày (11/2023 – 02/2024) tại CLB Doanh nhân tương lai CFE - Đại học Kinh tế Quốc dân
- Trưởng bộ phận Logistics dự án Tết 2025 “Trọn sắc”, đạt doanh thu hơn 1,4 tỷ VNĐ sau 79 ngày (11/2024 – 02/2025) tại CLB Doanh nhân tương lai CFE - Đại học Kinh tế Quốc dân
- Chịu trách nhiệm chính trong việc điều phối hoạt động logistics của các dự án kinh doanh trong CLB Doanh nhân tương lai CFE - Đại học Kinh tế Quốc dân nhiệm kỳ năm 2025
- Học kiến thức nền tảng/ chuyên ngành về lĩnh vực Logistics/ Kinh doanh quốc tế</t>
  </si>
  <si>
    <t>0906052304</t>
  </si>
  <si>
    <t>thuyynt.cfe@gmail.com</t>
  </si>
  <si>
    <t>TRAINING</t>
  </si>
  <si>
    <t>Lê Thị Hoàng Ngân</t>
  </si>
  <si>
    <t>- Có nền tảng kiến thức về Thương mại điện tử, kinh doanh số, marketing, nghiên cứu thị trường và vận hành hoạt động kinh doanh trực tuyến.
- KINH NGHIỆM 1 NĂM VẬN HÀNH NỀN TẢNG THƯƠNG MẠI ĐIỆN TỬ XUYÊN BIÊN GIỚI - ETSY
Vai trò: Vận hành kinh doanh &amp; phát triển cửa hàng
Cùng cộng sự trực tiếp vận hành 3 cửa hàng Etsy theo mô hình Print-on-Demand (POD) với tổng doanh thu hơn 76,000 USD trong 1 năm, từ nghiên cứu thị trường, lựa chọn/phát triển sản phẩm, quản lý đơn hàng và chăm sóc khách hàng.
Theo dõi dữ liệu bán hàng, nhu cầu khách hàng và hiệu quả sản phẩm để điều chỉnh hoạt động kinh doanh.
Trực tiếp phối hợp với các đối tác vận chuyển/fulfillment, theo dõi tiến độ giao hàng và xử lý các vấn đề phát sinh trong quá trình vận chuyển.</t>
  </si>
  <si>
    <t>0352102380</t>
  </si>
  <si>
    <t>nganlehoang29@gmail.com</t>
  </si>
  <si>
    <r>
      <rPr>
        <rFont val="Times New Roman"/>
        <b/>
        <color theme="1"/>
        <sz val="12.0"/>
      </rPr>
      <t xml:space="preserve">Giai đoạn 1: MVP </t>
    </r>
    <r>
      <rPr>
        <rFont val="Times New Roman"/>
        <color theme="1"/>
        <sz val="12.0"/>
      </rPr>
      <t xml:space="preserve">
(Xây dựng sản phẩm mẫu ban đầu)</t>
    </r>
  </si>
  <si>
    <t>THÔNG TIN DỰ ÁN</t>
  </si>
  <si>
    <t>NGÀY</t>
  </si>
  <si>
    <r>
      <rPr>
        <rFont val="Times New Roman"/>
        <color theme="1"/>
        <sz val="12.0"/>
      </rPr>
      <t xml:space="preserve">Start - </t>
    </r>
    <r>
      <rPr>
        <rFont val="Times New Roman"/>
        <b/>
        <color theme="1"/>
        <sz val="12.0"/>
      </rPr>
      <t xml:space="preserve">Due
</t>
    </r>
    <r>
      <rPr>
        <rFont val="Times New Roman"/>
        <i/>
        <color theme="1"/>
        <sz val="12.0"/>
      </rPr>
      <t xml:space="preserve">VD: 01/10 - </t>
    </r>
    <r>
      <rPr>
        <rFont val="Times New Roman"/>
        <b/>
        <i/>
        <color theme="1"/>
        <sz val="12.0"/>
      </rPr>
      <t>31/10</t>
    </r>
  </si>
  <si>
    <r>
      <rPr>
        <rFont val="Times New Roman"/>
        <b/>
        <color rgb="FFFFFFFF"/>
        <sz val="12.0"/>
      </rPr>
      <t xml:space="preserve">Mô tả ngắn gọn
</t>
    </r>
    <r>
      <rPr>
        <rFont val="Times New Roman"/>
        <b val="0"/>
        <i/>
        <color rgb="FFFFFFFF"/>
        <sz val="12.0"/>
      </rPr>
      <t>(Phải bao gồm: Tên + Lĩnh vực)</t>
    </r>
  </si>
  <si>
    <t>Hoạt động</t>
  </si>
  <si>
    <t>TRAINING &amp; MENTORING</t>
  </si>
  <si>
    <t>ASSIGNMENTS &amp; OUTPUTS</t>
  </si>
  <si>
    <t>Giai đoạn của dự án</t>
  </si>
  <si>
    <r>
      <rPr>
        <rFont val="Times New Roman"/>
        <b/>
        <color rgb="FFFFFFFF"/>
        <sz val="12.0"/>
      </rPr>
      <t xml:space="preserve">Thư mục tài liệu
</t>
    </r>
    <r>
      <rPr>
        <rFont val="Times New Roman"/>
        <b val="0"/>
        <i/>
        <color rgb="FFFFFFFF"/>
        <sz val="12.0"/>
      </rPr>
      <t xml:space="preserve">(Drive Link)
</t>
    </r>
    <r>
      <rPr>
        <rFont val="Times New Roman"/>
        <b/>
        <color rgb="FFFF0000"/>
        <sz val="12.0"/>
      </rPr>
      <t>Spts gắn link</t>
    </r>
  </si>
  <si>
    <t>Done</t>
  </si>
  <si>
    <t>Đầu việc 1: Viết nội dung ngắn gọn</t>
  </si>
  <si>
    <r>
      <rPr>
        <rFont val="Times New Roman"/>
        <color theme="1"/>
        <sz val="12.0"/>
      </rPr>
      <t>Start -</t>
    </r>
    <r>
      <rPr>
        <rFont val="Times New Roman"/>
        <b/>
        <color theme="1"/>
        <sz val="12.0"/>
      </rPr>
      <t xml:space="preserve"> Due</t>
    </r>
  </si>
  <si>
    <t>ĐỀ XUẤT HỖ TRỢ &amp; KẾT QUẢ ĐẠT ĐƯỢC</t>
  </si>
  <si>
    <t>Giai đoạn</t>
  </si>
  <si>
    <t>Nhu cầu hỗ trợ</t>
  </si>
  <si>
    <t>Kết quả đạt được</t>
  </si>
  <si>
    <t>- Phát triển phiên bản sản phẩm mẫu (MVP) có thể vận hành và dùng thử, nhằm kiểm chứng nhu cầu thực tế và hành vi sử dụng của khách hàng mục tiêu.
- Xây dựng bản đồ hành trình khách hàng sơ bộ (Customer Journey Map) làm cơ sở cho việc đo lường và cải tiến trong các giai đoạn tiếp theo.</t>
  </si>
  <si>
    <t>O1: Bản đồ hành trình khách hàng (Customer Journey Map) sơ bộ mô tả quá trình từ nhận biết → cân nhắc → dùng thử.
O2: Phiên bản sản phẩm mẫu (MVP) có thể vận hành, sẵn sàng để demo và cho khách hàng trải nghiệm.
O3: Báo cáo phản hồi người dùng bao gồm phân tích định tính (nhận xét, cảm nhận) và các chỉ số định lượng cơ bản (tỷ lệ dùng thử, mức độ hài lòng).</t>
  </si>
  <si>
    <t>Giai đoạn 1: MVP 
(Xây dựng sản phẩm mẫu ban đầu)</t>
  </si>
  <si>
    <t>MENTORING SESSION</t>
  </si>
  <si>
    <t>In Progress</t>
  </si>
  <si>
    <t>Giai đoạn 2: Validation 
(Kiểm chứng thị trường và ý tưởng)</t>
  </si>
  <si>
    <t>Đầu việc 2</t>
  </si>
  <si>
    <t>Thời gian</t>
  </si>
  <si>
    <t>Tham gia</t>
  </si>
  <si>
    <t>Tương tác</t>
  </si>
  <si>
    <r>
      <rPr>
        <rFont val="Times New Roman"/>
        <color theme="1"/>
        <sz val="12.0"/>
      </rPr>
      <t xml:space="preserve">Start - </t>
    </r>
    <r>
      <rPr>
        <rFont val="Times New Roman"/>
        <b/>
        <color theme="1"/>
        <sz val="12.0"/>
      </rPr>
      <t>Due</t>
    </r>
  </si>
  <si>
    <t>Tài liệu (MM)</t>
  </si>
  <si>
    <t>Deadline</t>
  </si>
  <si>
    <t>Giai đoạn 3: Product &amp; Business Model Development 
(Phát triển sản phẩm và mô hình kinh doanh)</t>
  </si>
  <si>
    <t>Thời gian nộp</t>
  </si>
  <si>
    <t>Tài liệu/ Kết quả</t>
  </si>
  <si>
    <r>
      <rPr>
        <rFont val="Times New Roman"/>
        <b/>
        <color rgb="FFFFFFFF"/>
        <sz val="13.0"/>
      </rPr>
      <t xml:space="preserve">Tình trạng
</t>
    </r>
    <r>
      <rPr>
        <rFont val="Times New Roman"/>
        <b/>
        <i/>
        <color rgb="FFFFFFFF"/>
        <sz val="13.0"/>
      </rPr>
      <t>(Điểm cho tình trạng)</t>
    </r>
  </si>
  <si>
    <t>Giai đoạn 4: Go-to-Market Strategy 
(Chiến lược tiếp cận thị trường)</t>
  </si>
  <si>
    <t>Đầu việc 3</t>
  </si>
  <si>
    <t>Giai đoạn 5: Financial Projection &amp; Scaling
(Kế hoạch tài chính và mở rộng)</t>
  </si>
  <si>
    <r>
      <rPr>
        <rFont val="Times New Roman"/>
        <color theme="1"/>
        <sz val="12.0"/>
      </rPr>
      <t xml:space="preserve">Start - </t>
    </r>
    <r>
      <rPr>
        <rFont val="Times New Roman"/>
        <b/>
        <color theme="1"/>
        <sz val="12.0"/>
      </rPr>
      <t>Due</t>
    </r>
  </si>
  <si>
    <t>Tài liệu</t>
  </si>
  <si>
    <t>Tình trạng</t>
  </si>
  <si>
    <t>Milestone</t>
  </si>
  <si>
    <t>PITCHING DAY</t>
  </si>
  <si>
    <t>TUẦN 1 (04/10 - 11/10)</t>
  </si>
  <si>
    <t>...</t>
  </si>
  <si>
    <r>
      <rPr>
        <rFont val="Times New Roman"/>
        <color theme="1"/>
        <sz val="12.0"/>
      </rPr>
      <t xml:space="preserve">Start - </t>
    </r>
    <r>
      <rPr>
        <rFont val="Times New Roman"/>
        <b/>
        <color theme="1"/>
        <sz val="12.0"/>
      </rPr>
      <t>Due</t>
    </r>
  </si>
  <si>
    <t>THANG ĐIỂM THÁI ĐỘ (5% TỔNG ĐIỂM VÒNG 2)</t>
  </si>
  <si>
    <r>
      <rPr>
        <rFont val="Times New Roman"/>
        <b/>
        <color theme="1"/>
        <sz val="12.0"/>
      </rPr>
      <t xml:space="preserve">Giai đoạn 2: Validation 
</t>
    </r>
    <r>
      <rPr>
        <rFont val="Times New Roman"/>
        <color theme="1"/>
        <sz val="12.0"/>
      </rPr>
      <t>(Kiểm chứng thị trường và ý tưởng)</t>
    </r>
  </si>
  <si>
    <t xml:space="preserve">ASSIGNMENTS                                </t>
  </si>
  <si>
    <t>04/10 - 11/10</t>
  </si>
  <si>
    <t>Mentoring Session 01</t>
  </si>
  <si>
    <t>- Xác thực bằng dữ liệu thực tế rằng sản phẩm mẫu (MVP) giải quyết đúng nhu cầu khách hàng và có tiềm năng mở rộng.
- Đo lường và ghi nhận tác động xã hội bước đầu nhằm chứng minh giá trị và ý nghĩa của giải pháp.</t>
  </si>
  <si>
    <t>O1: Báo cáo kiểm chứng thị trường bao gồm: dữ liệu hành vi khách hàng, mức độ hài lòng, khả năng sẵn sàng chi trả (WTP) và các chỉ số về tác động xã hội.
O2: Danh sách đề xuất cải tiến sản phẩm (Product Requirement Update), được sắp xếp theo mức độ ưu tiên dựa trên dữ liệu thực tế.</t>
  </si>
  <si>
    <t>//</t>
  </si>
  <si>
    <t>Đầu việc 1</t>
  </si>
  <si>
    <r>
      <rPr>
        <rFont val="Times New Roman"/>
        <b/>
        <color theme="1"/>
        <sz val="12.0"/>
      </rPr>
      <t xml:space="preserve">Giai đoạn 3: Product &amp; Business Model Development 
</t>
    </r>
    <r>
      <rPr>
        <rFont val="Times New Roman"/>
        <color theme="1"/>
        <sz val="12.0"/>
      </rPr>
      <t>(Phát triển sản phẩm và mô hình kinh doanh)</t>
    </r>
  </si>
  <si>
    <t>Nộp đúng hạn nhưng thiếu một phần nội dung.</t>
  </si>
  <si>
    <t>- Nâng cấp sản phẩm mẫu (MVP) thành phiên bản thử nghiệm nâng cao (Beta) với trải nghiệm và giá trị rõ ràng hơn cho khách hàng mục tiêu.
- Hoàn thiện tuyên bố giá trị (Value Proposition) và lợi điểm bán hàng độc nhất (Unique Selling Proposition - USP) dựa trên dữ liệu kiểm chứng.
- Xây dựng mô hình kinh doanh hoàn chỉnh (Business Model Canvas) làm nền tảng cho việc thương mại hóa.</t>
  </si>
  <si>
    <t>O1: Phiên bản Beta của sản phẩm, được cải tiến dựa trên kết quả kiểm chứng thị trường.
O2: Mô hình kinh doanh (Business Model Canvas) đầy đủ 9 khối.</t>
  </si>
  <si>
    <r>
      <rPr>
        <rFont val="Times New Roman"/>
        <b/>
        <color theme="1"/>
        <sz val="12.0"/>
      </rPr>
      <t>Tham gia</t>
    </r>
    <r>
      <rPr>
        <rFont val="Times New Roman"/>
        <b/>
        <color rgb="FFFF0000"/>
        <sz val="12.0"/>
      </rPr>
      <t xml:space="preserve"> (40% Điểm thái độ)</t>
    </r>
  </si>
  <si>
    <r>
      <rPr>
        <rFont val="Times New Roman"/>
        <b/>
        <color theme="1"/>
        <sz val="12.0"/>
      </rPr>
      <t>Tương tác</t>
    </r>
    <r>
      <rPr>
        <rFont val="Times New Roman"/>
        <b/>
        <color rgb="FFFF0000"/>
        <sz val="12.0"/>
      </rPr>
      <t xml:space="preserve"> (30% Điểm thái độ)</t>
    </r>
  </si>
  <si>
    <r>
      <rPr>
        <rFont val="Times New Roman"/>
        <b/>
        <color theme="1"/>
        <sz val="12.0"/>
      </rPr>
      <t xml:space="preserve">Tình trạng </t>
    </r>
    <r>
      <rPr>
        <rFont val="Times New Roman"/>
        <b/>
        <color rgb="FFFF0000"/>
        <sz val="12.0"/>
      </rPr>
      <t>(30% Điểm thái độ)</t>
    </r>
  </si>
  <si>
    <t>Webinar</t>
  </si>
  <si>
    <r>
      <rPr>
        <rFont val="Times New Roman"/>
        <b/>
        <color theme="1"/>
        <sz val="12.0"/>
      </rPr>
      <t>0.5</t>
    </r>
    <r>
      <rPr>
        <rFont val="Times New Roman"/>
        <b val="0"/>
        <color theme="1"/>
        <sz val="12.0"/>
      </rPr>
      <t xml:space="preserve"> 
</t>
    </r>
    <r>
      <rPr>
        <rFont val="Times New Roman"/>
        <b val="0"/>
        <i/>
        <color theme="1"/>
        <sz val="12.0"/>
      </rPr>
      <t>(Tham gia+ Tương tác)</t>
    </r>
  </si>
  <si>
    <r>
      <rPr>
        <rFont val="Times New Roman"/>
        <b/>
        <color theme="1"/>
        <sz val="12.0"/>
      </rPr>
      <t xml:space="preserve">0 
</t>
    </r>
    <r>
      <rPr>
        <rFont val="Times New Roman"/>
        <b val="0"/>
        <i/>
        <color theme="1"/>
        <sz val="12.0"/>
      </rPr>
      <t>(Tình trạng)</t>
    </r>
  </si>
  <si>
    <r>
      <rPr>
        <rFont val="Times New Roman"/>
        <b/>
        <color theme="1"/>
        <sz val="12.0"/>
      </rPr>
      <t xml:space="preserve">Giai đoạn 4: Go-to-Market Strategy 
</t>
    </r>
    <r>
      <rPr>
        <rFont val="Times New Roman"/>
        <color theme="1"/>
        <sz val="12.0"/>
      </rPr>
      <t>(Chiến lược tiếp cận thị trường)</t>
    </r>
  </si>
  <si>
    <t>0,1 người tham gia (&lt;50% đúng giờ)</t>
  </si>
  <si>
    <t>Thụ động, không chuẩn bị, không đặt câu hỏi</t>
  </si>
  <si>
    <t>Không nộp</t>
  </si>
  <si>
    <t>- Thiết kế và thử nghiệm chiến lược đưa sản phẩm ra thị trường dựa trên phiên bản Beta và mô hình kinh doanh.
- Tối ưu hóa định vị sản phẩm, chính sách giá, kênh phân phối và hoạt động truyền thông.</t>
  </si>
  <si>
    <t>O1: Bộ tài liệu chiến lược tiếp thị 4Ps</t>
  </si>
  <si>
    <t>Training 1</t>
  </si>
  <si>
    <t xml:space="preserve">Nộp trễ (≥3h) </t>
  </si>
  <si>
    <r>
      <rPr>
        <rFont val="Times New Roman"/>
        <b/>
        <color theme="1"/>
        <sz val="12.0"/>
      </rPr>
      <t xml:space="preserve">Giai đoạn 5: Financial Projection &amp; Scaling
</t>
    </r>
    <r>
      <rPr>
        <rFont val="Times New Roman"/>
        <color theme="1"/>
        <sz val="12.0"/>
      </rPr>
      <t>(Kế hoạch tài chính và mở rộng)</t>
    </r>
  </si>
  <si>
    <t>- Xây dựng kế hoạch tài chính 1-3 năm dựa trên dữ liệu từ giai đoạn thử nghiệm ra thị trường (soft-launch) và chiến lược tiếp cận thị trường.
- Quy hoạch nguồn lực và xác định nhu cầu vốn để mở rộng bền vững, gắn với tác động xã hội.
- Chuẩn bị tài liệu thuyết trình phục vụ kêu gọi vốn và hợp tác chiến lược.</t>
  </si>
  <si>
    <t>O1: Kế hoạch tài chính chi tiết (bao gồm chi phí, doanh thu, dòng tiền theo nhiều kịch bản).
O2: Bộ tài liệu thuyết trình (Pitch Deck) hoàn chỉnh, sẵn sàng cho quá trình gọi vốn và kết nối đối tác.</t>
  </si>
  <si>
    <t xml:space="preserve">2 người tham gia (&lt;50% đúng giờ)
2 người tham gia (≥50% đúng giờ)
</t>
  </si>
  <si>
    <t>Có trao đổi hoặc phản hồi khi được hỏi, thiếu chuẩn bị</t>
  </si>
  <si>
    <t>TUẦN 2 (12/10 - 18/10)</t>
  </si>
  <si>
    <t>3 người tham gia  (&lt;50% đúng giờ)
3 người tham gia (≥50% đúng giờ)</t>
  </si>
  <si>
    <t>Có chuẩn bị cơ bản, thảo luận khi gợi mở, bị động</t>
  </si>
  <si>
    <t>Nộp bài trễ (≤3h) + thiếu nội dung</t>
  </si>
  <si>
    <t>12/10 - 18/10</t>
  </si>
  <si>
    <t>Mentoring Session 02, 03</t>
  </si>
  <si>
    <t>4 người tham gia (≥50% đúng giờ)
4 người tham gia  (&lt;75% đúng giờ)</t>
  </si>
  <si>
    <t>Chuẩn bị tốt, chưa chủ động đặt câu hỏi, thảo luận và phản hồi</t>
  </si>
  <si>
    <t>Nộp trễ (≤3h) + Đầy đủ nội dung</t>
  </si>
  <si>
    <t>Training 2</t>
  </si>
  <si>
    <t>Số thành viên tham gia ≥5
(75%→&lt;100% đúng giờ)</t>
  </si>
  <si>
    <t>Chuẩn bị tốt, chủ động đặt câu hỏi, thảo luận và phản hồi</t>
  </si>
  <si>
    <t>Nộp đúng hạn + Thiếu nội dung</t>
  </si>
  <si>
    <t>TUẦN 3 (19/10 - 25/10)</t>
  </si>
  <si>
    <t>Toàn bộ thành viên tham gia 
(100% đúng giờ)</t>
  </si>
  <si>
    <t>Chuẩn bị kỹ, đào sâu, phản biện, tương tác tốt và đề xuất giải pháp.</t>
  </si>
  <si>
    <t>Nộp đúng hạn + Đầy đủ nội dung</t>
  </si>
  <si>
    <t>19/10 - 25/10</t>
  </si>
  <si>
    <t>Mentoring Session 04, 05</t>
  </si>
  <si>
    <t>Training 3</t>
  </si>
  <si>
    <t>Nộp đúng hạn, đầy đủ theo yêu cầu tối thiểu.</t>
  </si>
  <si>
    <t>TUẦN 4 (26/10 - 01/11)</t>
  </si>
  <si>
    <t>26/10 - 01/11</t>
  </si>
  <si>
    <t>Mentoring Session 06</t>
  </si>
  <si>
    <t>Training 4</t>
  </si>
  <si>
    <t>Nộp bài vòng 2</t>
  </si>
  <si>
    <t>SCORE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</si>
</sst>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d/mm"/>
  </numFmts>
  <fonts count="27">
    <font>
      <sz val="10.0"/>
      <color rgb="FF000000"/>
      <name val="Arial"/>
      <scheme val="minor"/>
    </font>
    <font>
      <b/>
      <sz val="12.0"/>
      <color theme="1"/>
      <name val="Times New Roman"/>
    </font>
    <font>
      <b/>
      <sz val="15.0"/>
      <color rgb="FFFFFFFF"/>
      <name val="Times New Roman"/>
    </font>
    <font/>
    <font>
      <b/>
      <sz val="12.0"/>
      <color rgb="FF000000"/>
      <name val="Times New Roman"/>
    </font>
    <font>
      <b/>
      <sz val="12.0"/>
      <color rgb="FFFFFFFF"/>
      <name val="Times New Roman"/>
    </font>
    <font>
      <b/>
      <sz val="16.0"/>
      <color rgb="FFFFFFFF"/>
      <name val="Times New Roman"/>
    </font>
    <font>
      <b/>
      <sz val="13.0"/>
      <color theme="1"/>
      <name val="Times New Roman"/>
    </font>
    <font>
      <sz val="14.0"/>
      <color rgb="FFFFFFFF"/>
      <name val="Times New Roman"/>
    </font>
    <font>
      <sz val="11.0"/>
      <color rgb="FF000000"/>
      <name val="Times New Roman"/>
    </font>
    <font>
      <b/>
      <i/>
      <sz val="12.0"/>
      <color theme="1"/>
      <name val="Times New Roman"/>
    </font>
    <font>
      <b/>
      <i/>
      <sz val="16.0"/>
      <color theme="1"/>
      <name val="Times New Roman"/>
    </font>
    <font>
      <sz val="12.0"/>
      <color rgb="FF000000"/>
      <name val="Times New Roman"/>
    </font>
    <font>
      <b/>
      <sz val="14.0"/>
      <color rgb="FFFFFFFF"/>
      <name val="Times New Roman"/>
    </font>
    <font>
      <sz val="12.0"/>
      <color theme="1"/>
      <name val="Times New Roman"/>
    </font>
    <font>
      <color theme="1"/>
      <name val="Arial"/>
    </font>
    <font>
      <b/>
      <i/>
      <sz val="16.0"/>
      <color rgb="FF000000"/>
      <name val="Times New Roman"/>
    </font>
    <font>
      <b/>
      <sz val="13.0"/>
      <color rgb="FFFFFFFF"/>
      <name val="Times New Roman"/>
    </font>
    <font>
      <b/>
      <sz val="20.0"/>
      <color rgb="FF1A5319"/>
      <name val="Times New Roman"/>
    </font>
    <font>
      <b/>
      <sz val="12.0"/>
      <color rgb="FFFF0000"/>
      <name val="Times New Roman"/>
    </font>
    <font>
      <sz val="11.0"/>
      <color theme="1"/>
      <name val="Times New Roman"/>
    </font>
    <font>
      <sz val="11.0"/>
      <color rgb="FF274E13"/>
      <name val="Times New Roman"/>
    </font>
    <font>
      <sz val="12.0"/>
      <color theme="1"/>
      <name val="Arial"/>
    </font>
    <font>
      <b/>
      <sz val="12.0"/>
      <color rgb="FFCC0000"/>
      <name val="Times New Roman"/>
    </font>
    <font>
      <b/>
      <sz val="14.0"/>
      <color theme="1"/>
      <name val="Times New Roman"/>
    </font>
    <font>
      <color theme="1"/>
      <name val="Arial"/>
      <scheme val="minor"/>
    </font>
    <font>
      <b/>
      <sz val="13.0"/>
      <color rgb="FF980000"/>
      <name val="Times New Roman"/>
    </font>
  </fonts>
  <fills count="11">
    <fill>
      <patternFill patternType="none"/>
    </fill>
    <fill>
      <patternFill patternType="lightGray"/>
    </fill>
    <fill>
      <patternFill patternType="solid">
        <fgColor rgb="FFFFFFFF"/>
        <bgColor rgb="FFFFFFFF"/>
      </patternFill>
    </fill>
    <fill>
      <patternFill patternType="solid">
        <fgColor rgb="FF1A5319"/>
        <bgColor rgb="FF1A5319"/>
      </patternFill>
    </fill>
    <fill>
      <patternFill patternType="solid">
        <fgColor rgb="FF508D4E"/>
        <bgColor rgb="FF508D4E"/>
      </patternFill>
    </fill>
    <fill>
      <patternFill patternType="solid">
        <fgColor rgb="FFD6EFD8"/>
        <bgColor rgb="FFD6EFD8"/>
      </patternFill>
    </fill>
    <fill>
      <patternFill patternType="solid">
        <fgColor rgb="FF447343"/>
        <bgColor rgb="FF447343"/>
      </patternFill>
    </fill>
    <fill>
      <patternFill patternType="solid">
        <fgColor rgb="FFFFF2CC"/>
        <bgColor rgb="FFFFF2CC"/>
      </patternFill>
    </fill>
    <fill>
      <patternFill patternType="solid">
        <fgColor rgb="FF80AF81"/>
        <bgColor rgb="FF80AF81"/>
      </patternFill>
    </fill>
    <fill>
      <patternFill patternType="solid">
        <fgColor rgb="FFF4CCCC"/>
        <bgColor rgb="FFF4CCCC"/>
      </patternFill>
    </fill>
    <fill>
      <patternFill patternType="solid">
        <fgColor rgb="FFD9D9D9"/>
        <bgColor rgb="FFD9D9D9"/>
      </patternFill>
    </fill>
  </fills>
  <borders count="144">
    <border/>
    <border>
      <left style="thin">
        <color rgb="FFFFFFFF"/>
      </left>
      <top style="thin">
        <color rgb="FFFFFFFF"/>
      </top>
      <bottom style="thin">
        <color rgb="FFFFFFFF"/>
      </bottom>
    </border>
    <border>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top style="thin">
        <color rgb="FF1A5319"/>
      </top>
      <bottom style="thin">
        <color rgb="FF1A5319"/>
      </bottom>
    </border>
    <border>
      <top style="thin">
        <color rgb="FF1A5319"/>
      </top>
      <bottom style="thin">
        <color rgb="FF1A5319"/>
      </bottom>
    </border>
    <border>
      <right style="thin">
        <color rgb="FFFFFFFF"/>
      </right>
      <top style="thin">
        <color rgb="FF1A5319"/>
      </top>
      <bottom style="thin">
        <color rgb="FF1A5319"/>
      </bottom>
    </border>
    <border>
      <left style="thin">
        <color rgb="FF000000"/>
      </left>
      <right style="thin">
        <color rgb="FF000000"/>
      </right>
    </border>
    <border>
      <left style="thin">
        <color rgb="FF000000"/>
      </left>
    </border>
    <border>
      <left style="thin">
        <color rgb="FF1A5319"/>
      </left>
      <right style="thin">
        <color rgb="FF1A5319"/>
      </right>
      <top style="thin">
        <color rgb="FF1A5319"/>
      </top>
      <bottom style="thin">
        <color rgb="FF1A5319"/>
      </bottom>
    </border>
    <border>
      <left style="thin">
        <color rgb="FF1A5319"/>
      </left>
      <top style="thin">
        <color rgb="FF1A5319"/>
      </top>
      <bottom style="thin">
        <color rgb="FF1A5319"/>
      </bottom>
    </border>
    <border>
      <right style="thin">
        <color rgb="FF1A5319"/>
      </right>
      <top style="thin">
        <color rgb="FF1A5319"/>
      </top>
      <bottom style="thin">
        <color rgb="FF1A5319"/>
      </bottom>
    </border>
    <border>
      <left style="thin">
        <color rgb="FF1A5319"/>
      </left>
      <right style="thin">
        <color rgb="FFFFFFFF"/>
      </right>
      <top style="thin">
        <color rgb="FF1A5319"/>
      </top>
      <bottom style="thin">
        <color rgb="FF1A5319"/>
      </bottom>
    </border>
    <border>
      <left style="thin">
        <color rgb="FFFFFFFF"/>
      </left>
      <right style="thin">
        <color rgb="FFFFFFFF"/>
      </right>
      <top style="thin">
        <color rgb="FF1A5319"/>
      </top>
      <bottom style="thin">
        <color rgb="FF1A5319"/>
      </bottom>
    </border>
    <border>
      <left style="thin">
        <color rgb="FFFFFFFF"/>
      </left>
      <right style="thin">
        <color rgb="FFFFFFFF"/>
      </right>
      <top style="thin">
        <color rgb="FF1A5319"/>
      </top>
    </border>
    <border>
      <left style="thin">
        <color rgb="FF000000"/>
      </left>
      <right style="thin">
        <color rgb="FF000000"/>
      </right>
      <bottom style="hair">
        <color rgb="FF000000"/>
      </bottom>
    </border>
    <border>
      <left style="thin">
        <color rgb="FF000000"/>
      </left>
      <right style="thin">
        <color rgb="FFFFFFFF"/>
      </right>
      <top style="thin">
        <color rgb="FF000000"/>
      </top>
    </border>
    <border>
      <left style="thin">
        <color rgb="FFFFFFFF"/>
      </left>
      <right style="thin">
        <color rgb="FF1A5319"/>
      </right>
      <top style="thin">
        <color rgb="FF1A5319"/>
      </top>
    </border>
    <border>
      <right style="thin">
        <color rgb="FF000000"/>
      </right>
    </border>
    <border>
      <right style="thin">
        <color rgb="FFFFFFFF"/>
      </right>
      <top style="thin">
        <color rgb="FF000000"/>
      </top>
    </border>
    <border>
      <left style="thin">
        <color rgb="FFFFFFFF"/>
      </left>
      <top style="thin">
        <color rgb="FF000000"/>
      </top>
      <bottom style="hair">
        <color rgb="FFFFFFFF"/>
      </bottom>
    </border>
    <border>
      <top style="thin">
        <color rgb="FF000000"/>
      </top>
      <bottom style="hair">
        <color rgb="FFFFFFFF"/>
      </bottom>
    </border>
    <border>
      <right style="thin">
        <color rgb="FF1A5319"/>
      </right>
    </border>
    <border>
      <right style="hair">
        <color rgb="FFFFFFFF"/>
      </right>
      <top style="thin">
        <color rgb="FF000000"/>
      </top>
      <bottom style="hair">
        <color rgb="FFFFFFFF"/>
      </bottom>
    </border>
    <border>
      <left style="thin">
        <color rgb="FF000000"/>
      </left>
      <right style="thin">
        <color rgb="FF000000"/>
      </right>
      <top style="hair">
        <color rgb="FF000000"/>
      </top>
      <bottom style="hair">
        <color rgb="FF000000"/>
      </bottom>
    </border>
    <border>
      <bottom style="thin">
        <color rgb="FFFFFFFF"/>
      </bottom>
    </border>
    <border>
      <right style="thin">
        <color rgb="FF000000"/>
      </right>
      <top style="thin">
        <color rgb="FF000000"/>
      </top>
      <bottom style="hair">
        <color rgb="FFFFFFFF"/>
      </bottom>
    </border>
    <border>
      <right style="thin">
        <color rgb="FFFFFFFF"/>
      </right>
      <top style="thin">
        <color rgb="FF508D4E"/>
      </top>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508D4E"/>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hair">
        <color rgb="FF000000"/>
      </bottom>
    </border>
    <border>
      <left style="hair">
        <color rgb="FFFFFFFF"/>
      </left>
    </border>
    <border>
      <left style="thin">
        <color rgb="FF000000"/>
      </left>
      <right style="thin">
        <color rgb="FFFFFFFF"/>
      </right>
      <bottom style="thin">
        <color rgb="FFFFFFFF"/>
      </bottom>
    </border>
    <border>
      <right style="hair">
        <color rgb="FFFFFFFF"/>
      </right>
    </border>
    <border>
      <right style="thin">
        <color rgb="FFFFFFFF"/>
      </right>
      <bottom style="thin">
        <color rgb="FFFFFFFF"/>
      </bottom>
    </border>
    <border>
      <right style="hair">
        <color rgb="FFFFFFFF"/>
      </right>
      <bottom style="thin">
        <color rgb="FFFFFFFF"/>
      </bottom>
    </border>
    <border>
      <left style="thin">
        <color rgb="FFFFFFFF"/>
      </left>
      <right style="thin">
        <color rgb="FFFFFFFF"/>
      </right>
    </border>
    <border>
      <left style="hair">
        <color rgb="FFFFFFFF"/>
      </left>
      <right style="hair">
        <color rgb="FFFFFFFF"/>
      </right>
      <bottom style="thin">
        <color rgb="FFFFFFFF"/>
      </bottom>
    </border>
    <border>
      <right style="thin">
        <color rgb="FF000000"/>
      </right>
      <top style="hair">
        <color rgb="FF000000"/>
      </top>
      <bottom style="hair">
        <color rgb="FF000000"/>
      </bottom>
    </border>
    <border>
      <left style="thin">
        <color rgb="FFFFFFFF"/>
      </left>
      <right style="hair">
        <color rgb="FFFFFFFF"/>
      </right>
      <bottom style="thin">
        <color rgb="FFFFFFFF"/>
      </bottom>
    </border>
    <border>
      <left style="thin">
        <color rgb="FF1A5319"/>
      </left>
      <top style="thin">
        <color rgb="FF1A5319"/>
      </top>
    </border>
    <border>
      <right style="thin">
        <color rgb="FFFFFFFF"/>
      </right>
      <top style="thin">
        <color rgb="FF1A5319"/>
      </top>
    </border>
    <border>
      <left style="hair">
        <color rgb="FFFFFFFF"/>
      </left>
      <right style="thin">
        <color rgb="FF000000"/>
      </right>
      <bottom style="thin">
        <color rgb="FFFFFFFF"/>
      </bottom>
    </border>
    <border>
      <right style="thin">
        <color rgb="FFFFFFFF"/>
      </right>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bottom style="hair">
        <color rgb="FF000000"/>
      </bottom>
    </border>
    <border>
      <right style="thin">
        <color rgb="FF1A5319"/>
      </right>
      <bottom style="hair">
        <color rgb="FF000000"/>
      </bottom>
    </border>
    <border>
      <bottom style="hair">
        <color rgb="FF000000"/>
      </bottom>
    </border>
    <border>
      <left style="thin">
        <color rgb="FF1A5319"/>
      </left>
      <top style="thin">
        <color rgb="FF1A5319"/>
      </top>
      <bottom style="thin">
        <color rgb="FFFFFFFF"/>
      </bottom>
    </border>
    <border>
      <right style="hair">
        <color rgb="FF000000"/>
      </right>
      <bottom style="hair">
        <color rgb="FF000000"/>
      </bottom>
    </border>
    <border>
      <right style="thin">
        <color rgb="FF1A5319"/>
      </right>
      <top style="thin">
        <color rgb="FF1A5319"/>
      </top>
      <bottom style="thin">
        <color rgb="FFFFFFFF"/>
      </bottom>
    </border>
    <border>
      <left style="thin">
        <color rgb="FFFFFFFF"/>
      </left>
      <top style="thin">
        <color rgb="FF000000"/>
      </top>
      <bottom style="thin">
        <color rgb="FFFFFFFF"/>
      </bottom>
    </border>
    <border>
      <left style="thin">
        <color rgb="FFFFFFFF"/>
      </left>
      <right style="thin">
        <color rgb="FFFFFFFF"/>
      </right>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1A5319"/>
      </left>
      <top style="thin">
        <color rgb="FFFFFFFF"/>
      </top>
      <bottom style="thin">
        <color rgb="FFFFFFFF"/>
      </bottom>
    </border>
    <border>
      <right style="thin">
        <color rgb="FF000000"/>
      </right>
      <top style="thin">
        <color rgb="FF000000"/>
      </top>
      <bottom style="thin">
        <color rgb="FFFFFFFF"/>
      </bottom>
    </border>
    <border>
      <right style="thin">
        <color rgb="FF1A5319"/>
      </right>
      <top style="thin">
        <color rgb="FFFFFFFF"/>
      </top>
      <bottom style="thin">
        <color rgb="FFFFFFFF"/>
      </bottom>
    </border>
    <border>
      <right style="thin">
        <color rgb="FFFFFFFF"/>
      </right>
      <top style="thin">
        <color rgb="FFFFFFFF"/>
      </top>
      <bottom style="thin">
        <color rgb="FFFFFFFF"/>
      </bottom>
    </border>
    <border>
      <right style="thin">
        <color rgb="FF000000"/>
      </right>
      <bottom style="thin">
        <color rgb="FF000000"/>
      </bottom>
    </border>
    <border>
      <left style="thin">
        <color rgb="FF1A5319"/>
      </left>
      <top style="thin">
        <color rgb="FFFFFFFF"/>
      </top>
      <bottom style="thin">
        <color rgb="FF1A5319"/>
      </bottom>
    </border>
    <border>
      <right style="thin">
        <color rgb="FF1A5319"/>
      </right>
      <top style="thin">
        <color rgb="FFFFFFFF"/>
      </top>
      <bottom style="thin">
        <color rgb="FF1A5319"/>
      </bottom>
    </border>
    <border>
      <left style="hair">
        <color rgb="FF000000"/>
      </left>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1A5319"/>
      </left>
    </border>
    <border>
      <left style="thin">
        <color rgb="FF000000"/>
      </left>
      <top style="hair">
        <color rgb="FF000000"/>
      </top>
      <bottom style="hair">
        <color rgb="FF000000"/>
      </bottom>
    </border>
    <border>
      <left style="hair">
        <color rgb="FF000000"/>
      </left>
      <top style="hair">
        <color rgb="FF000000"/>
      </top>
      <bottom style="hair">
        <color rgb="FF000000"/>
      </bottom>
    </border>
    <border>
      <left style="thin">
        <color rgb="FFFFFFFF"/>
      </left>
      <right style="thin">
        <color rgb="FFFFFFFF"/>
      </right>
      <top style="thin">
        <color rgb="FFFFFFFF"/>
      </top>
    </border>
    <border>
      <right style="thin">
        <color rgb="FF000000"/>
      </right>
      <top style="thin">
        <color rgb="FFFFFFFF"/>
      </top>
    </border>
    <border>
      <left style="thin">
        <color rgb="FF000000"/>
      </left>
      <top style="hair">
        <color rgb="FF000000"/>
      </top>
    </border>
    <border>
      <left style="hair">
        <color rgb="FF000000"/>
      </left>
      <top style="hair">
        <color rgb="FF000000"/>
      </top>
    </border>
    <border>
      <right style="thin">
        <color rgb="FF1A5319"/>
      </right>
      <top style="thin">
        <color rgb="FFFFFFFF"/>
      </top>
    </border>
    <border>
      <right style="hair">
        <color rgb="FF000000"/>
      </right>
      <top style="hair">
        <color rgb="FF000000"/>
      </top>
    </border>
    <border>
      <left style="thin">
        <color rgb="FF1A5319"/>
      </left>
      <bottom style="thin">
        <color rgb="FFFFFFFF"/>
      </bottom>
    </border>
    <border>
      <left style="medium">
        <color rgb="FFCC0000"/>
      </left>
      <right style="medium">
        <color rgb="FFCC0000"/>
      </right>
      <top style="medium">
        <color rgb="FFCC0000"/>
      </top>
      <bottom style="medium">
        <color rgb="FFCC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top style="thin">
        <color rgb="FF000000"/>
      </top>
    </border>
    <border>
      <left style="hair">
        <color rgb="FF000000"/>
      </left>
      <right style="thin">
        <color rgb="FF000000"/>
      </right>
      <top style="hair">
        <color rgb="FF000000"/>
      </top>
    </border>
    <border>
      <top style="thin">
        <color rgb="FF000000"/>
      </top>
    </border>
    <border>
      <right style="thin">
        <color rgb="FF000000"/>
      </right>
      <top style="thin">
        <color rgb="FF000000"/>
      </top>
    </border>
    <border>
      <left style="thin">
        <color rgb="FF000000"/>
      </left>
      <top style="hair">
        <color rgb="FF000000"/>
      </top>
      <bottom style="thin">
        <color rgb="FF000000"/>
      </bottom>
    </border>
    <border>
      <top style="thin">
        <color rgb="FF000000"/>
      </top>
      <bottom style="thin">
        <color rgb="FF000000"/>
      </bottom>
    </border>
    <border>
      <left style="hair">
        <color rgb="FF000000"/>
      </left>
      <top style="hair">
        <color rgb="FF000000"/>
      </top>
      <bottom style="thin">
        <color rgb="FF1A5319"/>
      </bottom>
    </border>
    <border>
      <right style="thin">
        <color rgb="FF1A5319"/>
      </right>
      <top style="thin">
        <color rgb="FF000000"/>
      </top>
      <bottom style="thin">
        <color rgb="FF000000"/>
      </bottom>
    </border>
    <border>
      <left style="hair">
        <color rgb="FF000000"/>
      </left>
      <right style="hair">
        <color rgb="FF000000"/>
      </right>
    </border>
    <border>
      <left style="thin">
        <color rgb="FFFFFFFF"/>
      </left>
      <right style="thin">
        <color rgb="FF1A5319"/>
      </right>
      <bottom style="thin">
        <color rgb="FFFFFFFF"/>
      </bottom>
    </border>
    <border>
      <right style="hair">
        <color rgb="FF000000"/>
      </right>
      <top style="thin">
        <color rgb="FF000000"/>
      </top>
      <bottom style="hair">
        <color rgb="FF000000"/>
      </bottom>
    </border>
    <border>
      <top style="thin">
        <color rgb="FFFFFFFF"/>
      </top>
    </border>
    <border>
      <left style="hair">
        <color rgb="FF000000"/>
      </left>
      <right style="hair">
        <color rgb="FF000000"/>
      </right>
      <top style="thin">
        <color rgb="FF000000"/>
      </top>
      <bottom style="hair">
        <color rgb="FF000000"/>
      </bottom>
    </border>
    <border>
      <left style="thin">
        <color rgb="FF000000"/>
      </left>
      <right style="hair">
        <color rgb="FF000000"/>
      </right>
      <top style="thin">
        <color rgb="FF000000"/>
      </top>
      <bottom style="hair">
        <color rgb="FF000000"/>
      </bottom>
    </border>
    <border>
      <left style="thin">
        <color rgb="FF000000"/>
      </left>
      <right style="thin">
        <color rgb="FFFFFFFF"/>
      </right>
      <top style="thin">
        <color rgb="FFFFFFFF"/>
      </top>
    </border>
    <border>
      <left style="hair">
        <color rgb="FF000000"/>
      </left>
      <right style="thin">
        <color rgb="FF000000"/>
      </right>
      <top style="thin">
        <color rgb="FF000000"/>
      </top>
      <bottom style="hair">
        <color rgb="FF000000"/>
      </bottom>
    </border>
    <border>
      <left style="thin">
        <color rgb="FFFFFFFF"/>
      </left>
      <right style="thin">
        <color rgb="FF1A5319"/>
      </right>
      <top style="thin">
        <color rgb="FFFFFFFF"/>
      </top>
      <bottom style="thin">
        <color rgb="FFFFFFFF"/>
      </bottom>
    </border>
    <border>
      <left style="thin">
        <color rgb="FF000000"/>
      </left>
      <right style="thin">
        <color rgb="FF000000"/>
      </right>
      <top style="thin">
        <color rgb="FF000000"/>
      </top>
    </border>
    <border>
      <left style="thin">
        <color rgb="FF1A5319"/>
      </left>
      <right style="hair">
        <color rgb="FF000000"/>
      </right>
      <top style="hair">
        <color rgb="FF000000"/>
      </top>
      <bottom style="hair">
        <color rgb="FF000000"/>
      </bottom>
    </border>
    <border>
      <left style="thin">
        <color rgb="FF1A5319"/>
      </left>
      <top style="hair">
        <color rgb="FF000000"/>
      </top>
      <bottom style="hair">
        <color rgb="FF000000"/>
      </bottom>
    </border>
    <border>
      <left style="hair">
        <color rgb="FF000000"/>
      </left>
      <right style="hair">
        <color rgb="FF000000"/>
      </right>
      <bottom style="hair">
        <color rgb="FF000000"/>
      </bottom>
    </border>
    <border>
      <left style="hair">
        <color rgb="FF000000"/>
      </left>
      <right style="thin">
        <color rgb="FF1A5319"/>
      </right>
      <top style="hair">
        <color rgb="FF000000"/>
      </top>
      <bottom style="hair">
        <color rgb="FF000000"/>
      </bottom>
    </border>
    <border>
      <left style="thin">
        <color rgb="FF1A5319"/>
      </left>
      <right style="thin">
        <color rgb="FF1A5319"/>
      </right>
    </border>
    <border>
      <left style="thin">
        <color rgb="FF000000"/>
      </left>
      <right style="thin">
        <color rgb="FFFFFFFF"/>
      </right>
    </border>
    <border>
      <left style="thin">
        <color rgb="FF1A5319"/>
      </left>
      <right style="thin">
        <color rgb="FF1A5319"/>
      </right>
      <top style="thin">
        <color rgb="FF1A5319"/>
      </top>
      <bottom style="hair">
        <color rgb="FF000000"/>
      </bottom>
    </border>
    <border>
      <left style="thin">
        <color rgb="FF1A5319"/>
      </left>
      <right style="hair">
        <color rgb="FF000000"/>
      </right>
      <top style="hair">
        <color rgb="FF000000"/>
      </top>
    </border>
    <border>
      <top style="hair">
        <color rgb="FF000000"/>
      </top>
    </border>
    <border>
      <right style="thin">
        <color rgb="FF1A5319"/>
      </right>
      <top style="hair">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1A5319"/>
      </right>
      <top style="thin">
        <color rgb="FF1A5319"/>
      </top>
      <bottom style="hair">
        <color rgb="FF000000"/>
      </bottom>
    </border>
    <border>
      <left style="thin">
        <color rgb="FF1A5319"/>
      </left>
      <right style="thin">
        <color rgb="FF1A5319"/>
      </right>
      <top style="hair">
        <color rgb="FF000000"/>
      </top>
      <bottom style="hair">
        <color rgb="FF000000"/>
      </bottom>
    </border>
    <border>
      <left style="hair">
        <color rgb="FF000000"/>
      </left>
    </border>
    <border>
      <left style="hair">
        <color rgb="FF000000"/>
      </left>
      <top style="hair">
        <color rgb="FF000000"/>
      </top>
      <bottom style="thin">
        <color rgb="FF000000"/>
      </bottom>
    </border>
    <border>
      <right style="thin">
        <color rgb="FF1A5319"/>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1A5319"/>
      </left>
      <right style="hair">
        <color rgb="FF000000"/>
      </right>
      <bottom style="hair">
        <color rgb="FF000000"/>
      </bottom>
    </border>
    <border>
      <left style="thin">
        <color rgb="FF1A5319"/>
      </left>
      <bottom style="hair">
        <color rgb="FF000000"/>
      </bottom>
    </border>
    <border>
      <left style="thin">
        <color rgb="FF1A5319"/>
      </left>
      <right style="thin">
        <color rgb="FF1A5319"/>
      </right>
      <top style="hair">
        <color rgb="FF000000"/>
      </top>
    </border>
    <border>
      <left style="hair">
        <color rgb="FFFFFFFF"/>
      </left>
      <right style="hair">
        <color rgb="FFFFFFFF"/>
      </right>
      <bottom style="hair">
        <color rgb="FFFFFFFF"/>
      </bottom>
    </border>
    <border>
      <left style="hair">
        <color rgb="FF000000"/>
      </left>
      <right style="thin">
        <color rgb="FF000000"/>
      </right>
    </border>
    <border>
      <left style="hair">
        <color rgb="FF000000"/>
      </left>
      <right style="thin">
        <color rgb="FF1A5319"/>
      </right>
      <bottom style="hair">
        <color rgb="FF000000"/>
      </bottom>
    </border>
    <border>
      <left style="hair">
        <color rgb="FFFFFFFF"/>
      </left>
      <right style="hair">
        <color rgb="FFFFFFFF"/>
      </right>
      <top style="hair">
        <color rgb="FFFFFFFF"/>
      </top>
      <bottom style="hair">
        <color rgb="FFFFFFFF"/>
      </bottom>
    </border>
    <border>
      <bottom style="thin">
        <color rgb="FF000000"/>
      </bottom>
    </border>
    <border>
      <right style="thin">
        <color rgb="FF1A5319"/>
      </right>
      <bottom style="thin">
        <color rgb="FF000000"/>
      </bottom>
    </border>
    <border>
      <left style="hair">
        <color rgb="FF000000"/>
      </left>
      <right style="thin">
        <color rgb="FF000000"/>
      </right>
      <bottom style="hair">
        <color rgb="FF000000"/>
      </bottom>
    </border>
    <border>
      <left style="thin">
        <color rgb="FF000000"/>
      </left>
      <right style="thin">
        <color rgb="FFFFFFFF"/>
      </right>
      <top style="thin">
        <color rgb="FFFFFFFF"/>
      </top>
      <bottom style="thin">
        <color rgb="FFFFFFFF"/>
      </bottom>
    </border>
    <border>
      <left style="thin">
        <color rgb="FF1A5319"/>
      </left>
      <top style="thin">
        <color rgb="FF1A5319"/>
      </top>
      <bottom style="thin">
        <color rgb="FF000000"/>
      </bottom>
    </border>
    <border>
      <top style="thin">
        <color rgb="FF1A5319"/>
      </top>
      <bottom style="thin">
        <color rgb="FF000000"/>
      </bottom>
    </border>
    <border>
      <right style="thin">
        <color rgb="FF1A5319"/>
      </right>
      <top style="thin">
        <color rgb="FF1A5319"/>
      </top>
      <bottom style="thin">
        <color rgb="FF000000"/>
      </bottom>
    </border>
    <border>
      <right style="thin">
        <color rgb="FF000000"/>
      </right>
      <top style="thin">
        <color rgb="FF1A5319"/>
      </top>
      <bottom style="thin">
        <color rgb="FF000000"/>
      </bottom>
    </border>
    <border>
      <right style="thin">
        <color rgb="FF000000"/>
      </right>
      <bottom style="thin">
        <color rgb="FF1A5319"/>
      </bottom>
    </border>
    <border>
      <bottom style="thin">
        <color rgb="FF1A5319"/>
      </bottom>
    </border>
    <border>
      <right style="thin">
        <color rgb="FF1A5319"/>
      </right>
      <bottom style="thin">
        <color rgb="FF1A5319"/>
      </bottom>
    </border>
    <border>
      <left style="hair">
        <color rgb="FFFFFFFF"/>
      </left>
      <right style="hair">
        <color rgb="FFFFFFFF"/>
      </right>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0" fillId="2" fontId="4" numFmtId="0" xfId="0" applyAlignment="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3" numFmtId="0" xfId="0" applyBorder="1" applyFont="1"/>
    <xf borderId="5" fillId="5" fontId="7" numFmtId="0" xfId="0" applyAlignment="1" applyBorder="1" applyFill="1" applyFont="1">
      <alignment readingOrder="0" shrinkToFit="0" vertical="top" wrapText="1"/>
    </xf>
    <xf borderId="1" fillId="3" fontId="6" numFmtId="0" xfId="0" applyAlignment="1" applyBorder="1" applyFill="1" applyFont="1">
      <alignment horizontal="center" readingOrder="0" shrinkToFit="0" vertical="center" wrapText="1"/>
    </xf>
    <xf borderId="6" fillId="0" fontId="3" numFmtId="0" xfId="0" applyBorder="1" applyFont="1"/>
    <xf borderId="7" fillId="0" fontId="3" numFmtId="0" xfId="0" applyBorder="1" applyFont="1"/>
    <xf borderId="8" fillId="6" fontId="8"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0" fillId="0" fontId="9" numFmtId="0" xfId="0" applyAlignment="1" applyFont="1">
      <alignment horizontal="center" readingOrder="0" shrinkToFit="0" vertical="center" wrapText="1"/>
    </xf>
    <xf borderId="9" fillId="6" fontId="8" numFmtId="0" xfId="0" applyAlignment="1" applyBorder="1" applyFill="1" applyFont="1">
      <alignment horizontal="center" shrinkToFit="0" vertical="center" wrapText="1"/>
    </xf>
    <xf borderId="0" fillId="5" fontId="10" numFmtId="0" xfId="0" applyAlignment="1" applyFill="1" applyFont="1">
      <alignment horizontal="center" readingOrder="0" shrinkToFit="0" vertical="center" wrapText="1"/>
    </xf>
    <xf borderId="10" fillId="4" fontId="5" numFmtId="0" xfId="0" applyAlignment="1" applyBorder="1" applyFill="1" applyFont="1">
      <alignment horizontal="center" shrinkToFit="0" vertical="center" wrapText="1"/>
    </xf>
    <xf borderId="0" fillId="5" fontId="11" numFmtId="0" xfId="0" applyAlignment="1" applyFill="1" applyFont="1">
      <alignment horizontal="center" readingOrder="0" shrinkToFit="0" vertical="center" wrapText="1"/>
    </xf>
    <xf borderId="11" fillId="4" fontId="5" numFmtId="0" xfId="0" applyAlignment="1" applyBorder="1" applyFill="1" applyFont="1">
      <alignment horizontal="center" shrinkToFit="0" vertical="center" wrapText="1"/>
    </xf>
    <xf borderId="12" fillId="0" fontId="3" numFmtId="0" xfId="0" applyBorder="1" applyFont="1"/>
    <xf borderId="13" fillId="4" fontId="5" numFmtId="0" xfId="0" applyAlignment="1" applyBorder="1" applyFill="1" applyFont="1">
      <alignment horizontal="center" readingOrder="0" shrinkToFit="0" vertical="center" wrapText="1"/>
    </xf>
    <xf borderId="14" fillId="4" fontId="5" numFmtId="0" xfId="0" applyAlignment="1" applyBorder="1" applyFill="1" applyFont="1">
      <alignment horizontal="center" readingOrder="0" shrinkToFit="0" vertical="center" wrapText="1"/>
    </xf>
    <xf borderId="10" fillId="4" fontId="5" numFmtId="0" xfId="0" applyAlignment="1" applyBorder="1" applyFill="1" applyFont="1">
      <alignment horizontal="center" vertical="center"/>
    </xf>
    <xf borderId="15" fillId="4" fontId="5" numFmtId="0" xfId="0" applyAlignment="1" applyBorder="1" applyFill="1" applyFont="1">
      <alignment horizontal="center" readingOrder="0" shrinkToFit="0" vertical="center" wrapText="1"/>
    </xf>
    <xf borderId="16" fillId="2" fontId="12" numFmtId="0" xfId="0" applyAlignment="1" applyBorder="1" applyFill="1" applyFont="1">
      <alignment horizontal="left" readingOrder="0" shrinkToFit="0" vertical="center" wrapText="1"/>
    </xf>
    <xf borderId="17" fillId="4" fontId="13" numFmtId="0" xfId="0" applyAlignment="1" applyBorder="1" applyFill="1" applyFont="1">
      <alignment horizontal="center" readingOrder="0" shrinkToFit="0" vertical="center" wrapText="1"/>
    </xf>
    <xf borderId="18" fillId="4" fontId="5" numFmtId="0" xfId="0" applyAlignment="1" applyBorder="1" applyFill="1" applyFont="1">
      <alignment horizontal="center" readingOrder="0" shrinkToFit="0" vertical="center" wrapText="1"/>
    </xf>
    <xf borderId="19" fillId="6" fontId="8" numFmtId="0" xfId="0" applyAlignment="1" applyBorder="1" applyFill="1" applyFont="1">
      <alignment horizontal="center" shrinkToFit="0" vertical="center" wrapText="1"/>
    </xf>
    <xf borderId="8" fillId="0" fontId="14" numFmtId="0" xfId="0" applyAlignment="1" applyBorder="1" applyFont="1">
      <alignment horizontal="center" shrinkToFit="0" vertical="center" wrapText="1"/>
    </xf>
    <xf borderId="20" fillId="4" fontId="13" numFmtId="0" xfId="0" applyAlignment="1" applyBorder="1" applyFill="1" applyFont="1">
      <alignment horizontal="center" readingOrder="0" shrinkToFit="0" vertical="center" wrapText="1"/>
    </xf>
    <xf borderId="9" fillId="0" fontId="14" numFmtId="0" xfId="0" applyAlignment="1" applyBorder="1" applyFont="1">
      <alignment horizontal="center" shrinkToFit="0" vertical="center" wrapText="1"/>
    </xf>
    <xf borderId="10" fillId="5" fontId="1" numFmtId="0" xfId="0" applyAlignment="1" applyBorder="1" applyFill="1" applyFont="1">
      <alignment horizontal="center" shrinkToFit="0" vertical="center" wrapText="1"/>
    </xf>
    <xf borderId="0" fillId="0" fontId="15" numFmtId="0" xfId="0" applyFont="1"/>
    <xf borderId="10" fillId="0" fontId="1" numFmtId="0" xfId="0" applyAlignment="1" applyBorder="1" applyFont="1">
      <alignment horizontal="center" shrinkToFit="0" vertical="center" wrapText="1"/>
    </xf>
    <xf borderId="21" fillId="4" fontId="13" numFmtId="0" xfId="0" applyAlignment="1" applyBorder="1" applyFill="1" applyFont="1">
      <alignment horizontal="center" readingOrder="0" shrinkToFit="0" vertical="center" wrapText="1"/>
    </xf>
    <xf borderId="11" fillId="0" fontId="14" numFmtId="0" xfId="0" applyAlignment="1" applyBorder="1" applyFont="1">
      <alignment horizontal="left" readingOrder="0" shrinkToFit="0" vertical="center" wrapText="1"/>
    </xf>
    <xf borderId="22" fillId="0" fontId="3" numFmtId="0" xfId="0" applyBorder="1" applyFont="1"/>
    <xf borderId="0" fillId="0" fontId="15" numFmtId="0" xfId="0" applyAlignment="1" applyFont="1">
      <alignment vertical="center"/>
    </xf>
    <xf borderId="24" fillId="0" fontId="3" numFmtId="0" xfId="0" applyBorder="1" applyFont="1"/>
    <xf borderId="23" fillId="0" fontId="15" numFmtId="0" xfId="0" applyAlignment="1" applyBorder="1" applyFont="1">
      <alignment vertical="bottom"/>
    </xf>
    <xf borderId="10" fillId="2" fontId="9" numFmtId="0" xfId="0" applyAlignment="1" applyBorder="1" applyFill="1" applyFont="1">
      <alignment horizontal="center" readingOrder="0" shrinkToFit="0" vertical="center" wrapText="1"/>
    </xf>
    <xf borderId="0" fillId="5" fontId="16" numFmtId="0" xfId="0" applyAlignment="1" applyFill="1" applyFont="1">
      <alignment horizontal="center" vertical="center"/>
    </xf>
    <xf borderId="25" fillId="2" fontId="12" numFmtId="0" xfId="0" applyAlignment="1" applyBorder="1" applyFill="1" applyFont="1">
      <alignment horizontal="center" readingOrder="0" shrinkToFit="0" vertical="center" wrapText="1"/>
    </xf>
    <xf borderId="26" fillId="0" fontId="15" numFmtId="0" xfId="0" applyAlignment="1" applyBorder="1" applyFont="1">
      <alignment vertical="center"/>
    </xf>
    <xf borderId="27" fillId="0" fontId="3" numFmtId="0" xfId="0" applyBorder="1" applyFont="1"/>
    <xf borderId="11" fillId="2" fontId="9" numFmtId="0" xfId="0" applyAlignment="1" applyBorder="1" applyFill="1" applyFont="1">
      <alignment horizontal="center" readingOrder="0" shrinkToFit="0" vertical="center" wrapText="1"/>
    </xf>
    <xf borderId="28" fillId="4" fontId="17" numFmtId="0" xfId="0" applyAlignment="1" applyBorder="1" applyFill="1" applyFont="1">
      <alignment horizontal="center" shrinkToFit="0" vertical="center" wrapText="1"/>
    </xf>
    <xf borderId="26" fillId="5" fontId="18" numFmtId="0" xfId="0" applyAlignment="1" applyBorder="1" applyFill="1" applyFont="1">
      <alignment horizontal="center"/>
    </xf>
    <xf borderId="10" fillId="0" fontId="19" numFmtId="0" xfId="0" applyAlignment="1" applyBorder="1" applyFont="1">
      <alignment horizontal="center" shrinkToFit="0" vertical="center" wrapText="1"/>
    </xf>
    <xf borderId="29" fillId="2" fontId="20" numFmtId="0" xfId="0" applyAlignment="1" applyBorder="1" applyFill="1" applyFont="1">
      <alignment shrinkToFit="0" vertical="center" wrapText="1"/>
    </xf>
    <xf borderId="30" fillId="4" fontId="17" numFmtId="0" xfId="0" applyAlignment="1" applyBorder="1" applyFill="1" applyFont="1">
      <alignment horizontal="center" shrinkToFit="0" vertical="center" wrapText="1"/>
    </xf>
    <xf borderId="31" fillId="0" fontId="14" numFmtId="0" xfId="0" applyAlignment="1" applyBorder="1" applyFont="1">
      <alignment horizontal="center" shrinkToFit="0" vertical="center" wrapText="1"/>
    </xf>
    <xf quotePrefix="1" borderId="29" fillId="2" fontId="20" numFmtId="0" xfId="0" applyAlignment="1" applyBorder="1" applyFill="1" applyFont="1">
      <alignment horizontal="center" shrinkToFit="0" vertical="center" wrapText="1"/>
    </xf>
    <xf borderId="16" fillId="2" fontId="12" numFmtId="0" xfId="0" applyAlignment="1" applyBorder="1" applyFill="1" applyFont="1">
      <alignment horizontal="center" readingOrder="0" shrinkToFit="0" vertical="center" wrapText="1"/>
    </xf>
    <xf borderId="29" fillId="2" fontId="20" numFmtId="0" xfId="0" applyAlignment="1" applyBorder="1" applyFill="1" applyFont="1">
      <alignment horizontal="center" shrinkToFit="0" vertical="center" wrapText="1"/>
    </xf>
    <xf borderId="32" fillId="0" fontId="14" numFmtId="0" xfId="0" applyAlignment="1" applyBorder="1" applyFont="1">
      <alignment horizontal="center" shrinkToFit="0" vertical="center" wrapText="1"/>
    </xf>
    <xf borderId="33" fillId="2" fontId="12" numFmtId="0" xfId="0" applyAlignment="1" applyBorder="1" applyFill="1" applyFont="1">
      <alignment horizontal="left" readingOrder="0" shrinkToFit="0" vertical="center" wrapText="1"/>
    </xf>
    <xf borderId="34" fillId="0" fontId="15" numFmtId="164" xfId="0" applyAlignment="1" applyBorder="1" applyFont="1" applyNumberFormat="1">
      <alignment vertical="center"/>
    </xf>
    <xf borderId="35" fillId="0" fontId="3" numFmtId="0" xfId="0" applyBorder="1" applyFont="1"/>
    <xf borderId="36" fillId="0" fontId="3" numFmtId="0" xfId="0" applyBorder="1" applyFont="1"/>
    <xf borderId="37" fillId="0" fontId="3" numFmtId="0" xfId="0" applyBorder="1" applyFont="1"/>
    <xf borderId="37" fillId="2" fontId="15" numFmtId="164" xfId="0" applyAlignment="1" applyBorder="1" applyFill="1" applyFont="1" applyNumberFormat="1">
      <alignment vertical="center"/>
    </xf>
    <xf borderId="38" fillId="4" fontId="17" numFmtId="0" xfId="0" applyAlignment="1" applyBorder="1" applyFill="1" applyFont="1">
      <alignment horizontal="center" shrinkToFit="0" vertical="center" wrapText="1"/>
    </xf>
    <xf borderId="39" fillId="2" fontId="15" numFmtId="164" xfId="0" applyBorder="1" applyFill="1" applyFont="1" applyNumberFormat="1"/>
    <xf borderId="40" fillId="4" fontId="17" numFmtId="0" xfId="0" applyAlignment="1" applyBorder="1" applyFill="1" applyFont="1">
      <alignment horizontal="center" shrinkToFit="0" vertical="center" wrapText="1"/>
    </xf>
    <xf quotePrefix="1" borderId="29" fillId="2" fontId="21" numFmtId="0" xfId="0" applyAlignment="1" applyBorder="1" applyFill="1" applyFont="1">
      <alignment horizontal="center" shrinkToFit="0" vertical="center" wrapText="1"/>
    </xf>
    <xf borderId="29" fillId="2" fontId="21" numFmtId="0" xfId="0" applyAlignment="1" applyBorder="1" applyFill="1" applyFont="1">
      <alignment horizontal="center" shrinkToFit="0" vertical="center" wrapText="1"/>
    </xf>
    <xf borderId="41" fillId="2" fontId="12" numFmtId="0" xfId="0" applyAlignment="1" applyBorder="1" applyFill="1" applyFont="1">
      <alignment horizontal="center" readingOrder="0" shrinkToFit="0" vertical="center" wrapText="1"/>
    </xf>
    <xf borderId="0" fillId="2" fontId="15" numFmtId="164" xfId="0" applyFill="1" applyFont="1" applyNumberFormat="1"/>
    <xf borderId="42" fillId="4" fontId="17" numFmtId="165" xfId="0" applyAlignment="1" applyBorder="1" applyFill="1" applyFont="1" applyNumberFormat="1">
      <alignment horizontal="center" shrinkToFit="0" vertical="center" wrapText="1"/>
    </xf>
    <xf borderId="40" fillId="4" fontId="17" numFmtId="165" xfId="0" applyAlignment="1" applyBorder="1" applyFill="1" applyFont="1" applyNumberFormat="1">
      <alignment horizontal="center" shrinkToFit="0" vertical="center" wrapText="1"/>
    </xf>
    <xf borderId="43" fillId="4" fontId="5" numFmtId="0" xfId="0" applyAlignment="1" applyBorder="1" applyFill="1" applyFont="1">
      <alignment horizontal="center" readingOrder="0" shrinkToFit="0" vertical="center" wrapText="1"/>
    </xf>
    <xf borderId="44" fillId="0" fontId="3" numFmtId="0" xfId="0" applyBorder="1" applyFont="1"/>
    <xf borderId="45" fillId="4" fontId="17" numFmtId="0" xfId="0" applyAlignment="1" applyBorder="1" applyFill="1" applyFont="1">
      <alignment horizontal="center" shrinkToFit="0" vertical="center" wrapText="1"/>
    </xf>
    <xf borderId="46" fillId="0" fontId="3" numFmtId="0" xfId="0" applyBorder="1" applyFont="1"/>
    <xf borderId="39" fillId="0" fontId="3" numFmtId="0" xfId="0" applyBorder="1" applyFont="1"/>
    <xf borderId="47" fillId="5" fontId="19" numFmtId="0" xfId="0" applyAlignment="1" applyBorder="1" applyFill="1" applyFont="1">
      <alignment horizontal="center" readingOrder="0" shrinkToFit="0" vertical="center" wrapText="1"/>
    </xf>
    <xf borderId="48" fillId="0" fontId="3" numFmtId="0" xfId="0" applyBorder="1" applyFont="1"/>
    <xf borderId="49" fillId="5" fontId="19" numFmtId="9" xfId="0" applyAlignment="1" applyBorder="1" applyFill="1" applyFont="1" applyNumberFormat="1">
      <alignment horizontal="center" readingOrder="0" shrinkToFit="0" vertical="center" wrapText="1"/>
    </xf>
    <xf borderId="26" fillId="2" fontId="22" numFmtId="164" xfId="0" applyAlignment="1" applyBorder="1" applyFill="1" applyFont="1" applyNumberFormat="1">
      <alignment vertical="center"/>
    </xf>
    <xf borderId="50" fillId="5" fontId="14" numFmtId="0" xfId="0" applyAlignment="1" applyBorder="1" applyFill="1" applyFont="1">
      <alignment horizontal="center" shrinkToFit="0" vertical="center" wrapText="1"/>
    </xf>
    <xf borderId="51" fillId="0" fontId="3" numFmtId="0" xfId="0" applyBorder="1" applyFont="1"/>
    <xf borderId="17" fillId="4" fontId="17" numFmtId="0" xfId="0" applyAlignment="1" applyBorder="1" applyFill="1" applyFont="1">
      <alignment horizontal="center" shrinkToFit="0" vertical="center" wrapText="1"/>
    </xf>
    <xf borderId="52" fillId="5" fontId="14" numFmtId="0" xfId="0" applyAlignment="1" applyBorder="1" applyFill="1" applyFont="1">
      <alignment horizontal="center" shrinkToFit="0" vertical="center" wrapText="1"/>
    </xf>
    <xf borderId="52" fillId="0" fontId="3" numFmtId="0" xfId="0" applyBorder="1" applyFont="1"/>
    <xf borderId="54" fillId="0" fontId="3" numFmtId="0" xfId="0" applyBorder="1" applyFont="1"/>
    <xf borderId="20" fillId="4" fontId="17" numFmtId="0" xfId="0" applyAlignment="1" applyBorder="1" applyFill="1" applyFont="1">
      <alignment horizontal="center" shrinkToFit="0" vertical="center" wrapText="1"/>
    </xf>
    <xf borderId="53" fillId="4" fontId="5" numFmtId="0" xfId="0" applyAlignment="1" applyBorder="1" applyFill="1" applyFont="1">
      <alignment horizontal="center" readingOrder="0" shrinkToFit="0" vertical="center" wrapText="1"/>
    </xf>
    <xf borderId="55" fillId="0" fontId="3" numFmtId="0" xfId="0" applyBorder="1" applyFont="1"/>
    <xf borderId="50" fillId="0" fontId="15" numFmtId="0" xfId="0" applyAlignment="1" applyBorder="1" applyFont="1">
      <alignment horizontal="center" vertical="center"/>
    </xf>
    <xf borderId="33" fillId="0" fontId="3" numFmtId="0" xfId="0" applyBorder="1" applyFont="1"/>
    <xf borderId="11" fillId="0" fontId="9" numFmtId="0" xfId="0" applyAlignment="1" applyBorder="1" applyFont="1">
      <alignment horizontal="center" readingOrder="0" shrinkToFit="0" vertical="center" wrapText="1"/>
    </xf>
    <xf borderId="56" fillId="4" fontId="17" numFmtId="0" xfId="0" applyAlignment="1" applyBorder="1" applyFill="1" applyFont="1">
      <alignment horizontal="center" shrinkToFit="0" vertical="center" wrapText="1"/>
    </xf>
    <xf borderId="57" fillId="0" fontId="3" numFmtId="0" xfId="0" applyBorder="1" applyFont="1"/>
    <xf borderId="58" fillId="0" fontId="3" numFmtId="0" xfId="0" applyBorder="1" applyFont="1"/>
    <xf borderId="59" fillId="0" fontId="3" numFmtId="0" xfId="0" applyBorder="1" applyFont="1"/>
    <xf borderId="60" fillId="4" fontId="5" numFmtId="0" xfId="0" applyAlignment="1" applyBorder="1" applyFill="1" applyFont="1">
      <alignment horizontal="center" readingOrder="0" shrinkToFit="0" vertical="center" wrapText="1"/>
    </xf>
    <xf borderId="61" fillId="0" fontId="3" numFmtId="0" xfId="0" applyBorder="1" applyFont="1"/>
    <xf borderId="62" fillId="0" fontId="3" numFmtId="0" xfId="0" applyBorder="1" applyFont="1"/>
    <xf borderId="64" fillId="0" fontId="14" numFmtId="0" xfId="0" applyAlignment="1" applyBorder="1" applyFont="1">
      <alignment horizontal="center" shrinkToFit="0" vertical="center" wrapText="1"/>
    </xf>
    <xf borderId="65" fillId="4" fontId="5" numFmtId="0" xfId="0" applyAlignment="1" applyBorder="1" applyFill="1" applyFont="1">
      <alignment horizontal="center" readingOrder="0" shrinkToFit="0" vertical="center" wrapText="1"/>
    </xf>
    <xf borderId="50" fillId="0" fontId="1" numFmtId="0" xfId="0" applyAlignment="1" applyBorder="1" applyFont="1">
      <alignment horizontal="center" shrinkToFit="0" vertical="center" wrapText="1"/>
    </xf>
    <xf borderId="66" fillId="0" fontId="3" numFmtId="0" xfId="0" applyBorder="1" applyFont="1"/>
    <xf borderId="67" fillId="0" fontId="14" numFmtId="0" xfId="0" applyAlignment="1" applyBorder="1" applyFont="1">
      <alignment horizontal="center" shrinkToFit="0" vertical="center" wrapText="1"/>
    </xf>
    <xf borderId="19" fillId="0" fontId="14" numFmtId="0" xfId="0" applyAlignment="1" applyBorder="1" applyFont="1">
      <alignment horizontal="center" shrinkToFit="0" vertical="center" wrapText="1"/>
    </xf>
    <xf borderId="68" fillId="7" fontId="14" numFmtId="0" xfId="0" applyAlignment="1" applyBorder="1" applyFill="1" applyFont="1">
      <alignment horizontal="center" shrinkToFit="0" vertical="center" wrapText="1"/>
    </xf>
    <xf borderId="63" fillId="4" fontId="17" numFmtId="0" xfId="0" applyAlignment="1" applyBorder="1" applyFill="1" applyFont="1">
      <alignment horizontal="center" shrinkToFit="0" wrapText="1"/>
    </xf>
    <xf borderId="69" fillId="0" fontId="3" numFmtId="0" xfId="0" applyBorder="1" applyFont="1"/>
    <xf borderId="70" fillId="2" fontId="15" numFmtId="0" xfId="0" applyAlignment="1" applyBorder="1" applyFill="1" applyFont="1">
      <alignment horizontal="center" vertical="center"/>
    </xf>
    <xf borderId="71" fillId="2" fontId="15" numFmtId="0" xfId="0" applyAlignment="1" applyBorder="1" applyFill="1" applyFont="1">
      <alignment horizontal="center" vertical="center"/>
    </xf>
    <xf borderId="1" fillId="4" fontId="17" numFmtId="0" xfId="0" applyAlignment="1" applyBorder="1" applyFill="1" applyFont="1">
      <alignment horizontal="center" shrinkToFit="0" wrapText="1"/>
    </xf>
    <xf borderId="5" fillId="4" fontId="5" numFmtId="0" xfId="0" applyAlignment="1" applyBorder="1" applyFill="1" applyFont="1">
      <alignment horizontal="center" readingOrder="0" shrinkToFit="0" vertical="center" wrapText="1"/>
    </xf>
    <xf borderId="72" fillId="2" fontId="15" numFmtId="0" xfId="0" applyAlignment="1" applyBorder="1" applyFill="1" applyFont="1">
      <alignment horizontal="center" vertical="center"/>
    </xf>
    <xf borderId="19" fillId="2" fontId="14" numFmtId="0" xfId="0" applyAlignment="1" applyBorder="1" applyFill="1" applyFont="1">
      <alignment horizontal="center" shrinkToFit="0" vertical="center" wrapText="1"/>
    </xf>
    <xf borderId="73" fillId="0" fontId="3" numFmtId="0" xfId="0" applyBorder="1" applyFont="1"/>
    <xf borderId="11" fillId="2" fontId="4" numFmtId="0" xfId="0" applyAlignment="1" applyBorder="1" applyFill="1" applyFont="1">
      <alignment horizontal="center" readingOrder="0" shrinkToFit="0" vertical="center" wrapText="1"/>
    </xf>
    <xf borderId="8" fillId="2" fontId="14" numFmtId="0" xfId="0" applyAlignment="1" applyBorder="1" applyFill="1" applyFont="1">
      <alignment horizontal="center" shrinkToFit="0" vertical="center" wrapText="1"/>
    </xf>
    <xf borderId="11" fillId="0" fontId="15" numFmtId="0" xfId="0" applyAlignment="1" applyBorder="1" applyFont="1">
      <alignment vertical="center"/>
    </xf>
    <xf borderId="74" fillId="5" fontId="19" numFmtId="0" xfId="0" applyAlignment="1" applyBorder="1" applyFill="1" applyFont="1">
      <alignment horizontal="center" readingOrder="0" shrinkToFit="0" vertical="center" wrapText="1"/>
    </xf>
    <xf borderId="41" fillId="0" fontId="3" numFmtId="0" xfId="0" applyBorder="1" applyFont="1"/>
    <xf borderId="25" fillId="5" fontId="19" numFmtId="9" xfId="0" applyAlignment="1" applyBorder="1" applyFill="1" applyFont="1" applyNumberFormat="1">
      <alignment horizontal="center" readingOrder="0" shrinkToFit="0" vertical="center" wrapText="1"/>
    </xf>
    <xf borderId="74" fillId="0" fontId="1" numFmtId="0" xfId="0" applyAlignment="1" applyBorder="1" applyFont="1">
      <alignment horizontal="center" shrinkToFit="0" vertical="center" wrapText="1"/>
    </xf>
    <xf borderId="75" fillId="0" fontId="14" numFmtId="0" xfId="0" applyAlignment="1" applyBorder="1" applyFont="1">
      <alignment horizontal="center" shrinkToFit="0" vertical="center" wrapText="1"/>
    </xf>
    <xf borderId="69" fillId="2" fontId="15" numFmtId="0" xfId="0" applyAlignment="1" applyBorder="1" applyFill="1" applyFont="1">
      <alignment horizontal="center" vertical="center"/>
    </xf>
    <xf borderId="76" fillId="8" fontId="17" numFmtId="164" xfId="0" applyAlignment="1" applyBorder="1" applyFill="1" applyFont="1" applyNumberFormat="1">
      <alignment horizontal="center" shrinkToFit="0" vertical="center" wrapText="1"/>
    </xf>
    <xf borderId="11" fillId="0" fontId="15" numFmtId="164" xfId="0" applyAlignment="1" applyBorder="1" applyFont="1" applyNumberFormat="1">
      <alignment vertical="center"/>
    </xf>
    <xf borderId="0" fillId="0" fontId="14" numFmtId="0" xfId="0" applyAlignment="1" applyFont="1">
      <alignment horizontal="center" shrinkToFit="0" vertical="center" wrapText="1"/>
    </xf>
    <xf borderId="76" fillId="8" fontId="17" numFmtId="0" xfId="0" applyAlignment="1" applyBorder="1" applyFill="1" applyFont="1">
      <alignment horizontal="center" shrinkToFit="0" vertical="center" wrapText="1"/>
    </xf>
    <xf borderId="75" fillId="7" fontId="14" numFmtId="0" xfId="0" applyAlignment="1" applyBorder="1" applyFill="1" applyFont="1">
      <alignment horizontal="center" shrinkToFit="0" vertical="center" wrapText="1"/>
    </xf>
    <xf borderId="76" fillId="8" fontId="17" numFmtId="0" xfId="0" applyAlignment="1" applyBorder="1" applyFill="1" applyFont="1">
      <alignment horizontal="center" readingOrder="0" shrinkToFit="0" vertical="center" wrapText="1"/>
    </xf>
    <xf borderId="19" fillId="0" fontId="3" numFmtId="0" xfId="0" applyBorder="1" applyFont="1"/>
    <xf borderId="8" fillId="0" fontId="3" numFmtId="0" xfId="0" applyBorder="1" applyFont="1"/>
    <xf borderId="3" fillId="8" fontId="17" numFmtId="0" xfId="0" applyAlignment="1" applyBorder="1" applyFill="1" applyFont="1">
      <alignment horizontal="center" readingOrder="0" shrinkToFit="0" vertical="center" wrapText="1"/>
    </xf>
    <xf borderId="77" fillId="0" fontId="3" numFmtId="0" xfId="0" applyBorder="1" applyFont="1"/>
    <xf borderId="4" fillId="8" fontId="17" numFmtId="0" xfId="0" applyAlignment="1" applyBorder="1" applyFill="1" applyFont="1">
      <alignment horizontal="center" shrinkToFit="0" wrapText="1"/>
    </xf>
    <xf borderId="78" fillId="0" fontId="15" numFmtId="164" xfId="0" applyAlignment="1" applyBorder="1" applyFont="1" applyNumberFormat="1">
      <alignment horizontal="center" vertical="center"/>
    </xf>
    <xf borderId="76" fillId="8" fontId="17" numFmtId="0" xfId="0" applyAlignment="1" applyBorder="1" applyFill="1" applyFont="1">
      <alignment horizontal="center" shrinkToFit="0" wrapText="1"/>
    </xf>
    <xf borderId="79" fillId="0" fontId="14" numFmtId="0" xfId="0" applyAlignment="1" applyBorder="1" applyFont="1">
      <alignment horizontal="center" shrinkToFit="0" vertical="center" wrapText="1"/>
    </xf>
    <xf borderId="76" fillId="8" fontId="17" numFmtId="164" xfId="0" applyAlignment="1" applyBorder="1" applyFill="1" applyFont="1" applyNumberFormat="1">
      <alignment horizontal="center" shrinkToFit="0" wrapText="1"/>
    </xf>
    <xf borderId="68" fillId="0" fontId="3" numFmtId="0" xfId="0" applyBorder="1" applyFont="1"/>
    <xf borderId="76" fillId="8" fontId="17" numFmtId="0" xfId="0" applyAlignment="1" applyBorder="1" applyFill="1" applyFont="1">
      <alignment horizontal="center" shrinkToFit="0" wrapText="1"/>
    </xf>
    <xf borderId="3" fillId="8" fontId="17" numFmtId="164" xfId="0" applyAlignment="1" applyBorder="1" applyFill="1" applyFont="1" applyNumberFormat="1">
      <alignment horizontal="center" shrinkToFit="0" wrapText="1"/>
    </xf>
    <xf borderId="80" fillId="0" fontId="3" numFmtId="0" xfId="0" applyBorder="1" applyFont="1"/>
    <xf borderId="50" fillId="0" fontId="3" numFmtId="0" xfId="0" applyBorder="1" applyFont="1"/>
    <xf borderId="67" fillId="0" fontId="3" numFmtId="0" xfId="0" applyBorder="1" applyFont="1"/>
    <xf borderId="81" fillId="2" fontId="15" numFmtId="0" xfId="0" applyAlignment="1" applyBorder="1" applyFill="1" applyFont="1">
      <alignment horizontal="center" vertical="center"/>
    </xf>
    <xf borderId="79" fillId="2" fontId="15" numFmtId="0" xfId="0" applyAlignment="1" applyBorder="1" applyFill="1" applyFont="1">
      <alignment horizontal="center" vertical="center"/>
    </xf>
    <xf borderId="82" fillId="0" fontId="3" numFmtId="0" xfId="0" applyBorder="1" applyFont="1"/>
    <xf borderId="83" fillId="9" fontId="23" numFmtId="0" xfId="0" applyAlignment="1" applyBorder="1" applyFill="1" applyFont="1">
      <alignment horizontal="center" shrinkToFit="0" vertical="center" wrapText="1"/>
    </xf>
    <xf borderId="84" fillId="2" fontId="15" numFmtId="0" xfId="0" applyAlignment="1" applyBorder="1" applyFill="1" applyFont="1">
      <alignment horizontal="center" vertical="center"/>
    </xf>
    <xf borderId="85" fillId="2" fontId="15" numFmtId="0" xfId="0" applyAlignment="1" applyBorder="1" applyFill="1" applyFont="1">
      <alignment horizontal="center" vertical="center"/>
    </xf>
    <xf borderId="86" fillId="5" fontId="24" numFmtId="0" xfId="0" applyAlignment="1" applyBorder="1" applyFill="1" applyFont="1">
      <alignment horizontal="center" readingOrder="0" shrinkToFit="0" vertical="center" wrapText="1"/>
    </xf>
    <xf borderId="87" fillId="2" fontId="15" numFmtId="0" xfId="0" applyAlignment="1" applyBorder="1" applyFill="1" applyFont="1">
      <alignment horizontal="center" vertical="center"/>
    </xf>
    <xf borderId="88" fillId="0" fontId="3" numFmtId="0" xfId="0" applyBorder="1" applyFont="1"/>
    <xf borderId="89" fillId="0" fontId="3" numFmtId="0" xfId="0" applyBorder="1" applyFont="1"/>
    <xf borderId="91" fillId="5" fontId="7" numFmtId="0" xfId="0" applyAlignment="1" applyBorder="1" applyFill="1" applyFont="1">
      <alignment horizontal="center" shrinkToFit="0" wrapText="1"/>
    </xf>
    <xf borderId="90" fillId="0" fontId="15" numFmtId="164" xfId="0" applyAlignment="1" applyBorder="1" applyFont="1" applyNumberFormat="1">
      <alignment horizontal="center" vertical="center"/>
    </xf>
    <xf borderId="92" fillId="0" fontId="14" numFmtId="0" xfId="0" applyAlignment="1" applyBorder="1" applyFont="1">
      <alignment horizontal="center" shrinkToFit="0" vertical="center" wrapText="1"/>
    </xf>
    <xf borderId="93" fillId="5" fontId="7" numFmtId="0" xfId="0" applyAlignment="1" applyBorder="1" applyFill="1" applyFont="1">
      <alignment horizontal="center" shrinkToFit="0" wrapText="1"/>
    </xf>
    <xf borderId="94" fillId="2" fontId="15" numFmtId="0" xfId="0" applyAlignment="1" applyBorder="1" applyFill="1" applyFont="1">
      <alignment horizontal="center" vertical="center"/>
    </xf>
    <xf borderId="85" fillId="7" fontId="14" numFmtId="0" xfId="0" applyAlignment="1" applyBorder="1" applyFill="1" applyFont="1">
      <alignment horizontal="center" shrinkToFit="0" vertical="center" wrapText="1"/>
    </xf>
    <xf borderId="64" fillId="0" fontId="3" numFmtId="0" xfId="0" applyBorder="1" applyFont="1"/>
    <xf borderId="73" fillId="4" fontId="5" numFmtId="0" xfId="0" applyAlignment="1" applyBorder="1" applyFill="1" applyFont="1">
      <alignment horizontal="center" readingOrder="0" shrinkToFit="0" vertical="center" wrapText="1"/>
    </xf>
    <xf borderId="31" fillId="0" fontId="3" numFmtId="0" xfId="0" applyBorder="1" applyFont="1"/>
    <xf borderId="26" fillId="4" fontId="5" numFmtId="0" xfId="0" applyAlignment="1" applyBorder="1" applyFill="1" applyFont="1">
      <alignment horizontal="center" shrinkToFit="0" vertical="center" wrapText="1"/>
    </xf>
    <xf borderId="95" fillId="4" fontId="5" numFmtId="0" xfId="0" applyAlignment="1" applyBorder="1" applyFill="1" applyFont="1">
      <alignment horizontal="center" shrinkToFit="0" vertical="center" wrapText="1"/>
    </xf>
    <xf borderId="96" fillId="2" fontId="15" numFmtId="0" xfId="0" applyAlignment="1" applyBorder="1" applyFill="1" applyFont="1">
      <alignment horizontal="center" vertical="center"/>
    </xf>
    <xf borderId="98" fillId="2" fontId="15" numFmtId="0" xfId="0" applyAlignment="1" applyBorder="1" applyFill="1" applyFont="1">
      <alignment horizontal="center" vertical="center"/>
    </xf>
    <xf borderId="97" fillId="2" fontId="22" numFmtId="164" xfId="0" applyAlignment="1" applyBorder="1" applyFill="1" applyFont="1" applyNumberFormat="1">
      <alignment vertical="center"/>
    </xf>
    <xf borderId="99" fillId="2" fontId="15" numFmtId="0" xfId="0" applyAlignment="1" applyBorder="1" applyFill="1" applyFont="1">
      <alignment horizontal="center" vertical="center"/>
    </xf>
    <xf borderId="100" fillId="8" fontId="5" numFmtId="0" xfId="0" applyAlignment="1" applyBorder="1" applyFill="1" applyFont="1">
      <alignment horizontal="center" readingOrder="0" shrinkToFit="0" vertical="center" wrapText="1"/>
    </xf>
    <xf borderId="101" fillId="2" fontId="15" numFmtId="0" xfId="0" applyAlignment="1" applyBorder="1" applyFill="1" applyFont="1">
      <alignment horizontal="center" vertical="center"/>
    </xf>
    <xf borderId="102" fillId="8" fontId="5" numFmtId="0" xfId="0" applyAlignment="1" applyBorder="1" applyFill="1" applyFont="1">
      <alignment horizontal="center" readingOrder="0" shrinkToFit="0" vertical="center" wrapText="1"/>
    </xf>
    <xf borderId="103" fillId="2" fontId="14" numFmtId="0" xfId="0" applyAlignment="1" applyBorder="1" applyFill="1" applyFont="1">
      <alignment horizontal="center" shrinkToFit="0" vertical="center" wrapText="1"/>
    </xf>
    <xf borderId="104" fillId="0" fontId="15" numFmtId="164" xfId="0" applyAlignment="1" applyBorder="1" applyFont="1" applyNumberFormat="1">
      <alignment vertical="center"/>
    </xf>
    <xf borderId="70" fillId="0" fontId="15" numFmtId="0" xfId="0" applyAlignment="1" applyBorder="1" applyFont="1">
      <alignment vertical="center"/>
    </xf>
    <xf borderId="50" fillId="0" fontId="15" numFmtId="164" xfId="0" applyAlignment="1" applyBorder="1" applyFont="1" applyNumberFormat="1">
      <alignment horizontal="center" vertical="center"/>
    </xf>
    <xf borderId="74" fillId="0" fontId="15" numFmtId="164" xfId="0" applyAlignment="1" applyBorder="1" applyFont="1" applyNumberFormat="1">
      <alignment horizontal="center" vertical="center"/>
    </xf>
    <xf borderId="105" fillId="10" fontId="14" numFmtId="0" xfId="0" applyAlignment="1" applyBorder="1" applyFill="1" applyFont="1">
      <alignment horizontal="center" vertical="center"/>
    </xf>
    <xf borderId="69" fillId="0" fontId="15" numFmtId="0" xfId="0" applyBorder="1" applyFont="1"/>
    <xf borderId="70" fillId="0" fontId="15" numFmtId="0" xfId="0" applyBorder="1" applyFont="1"/>
    <xf borderId="70" fillId="0" fontId="15" numFmtId="0" xfId="0" applyBorder="1" applyFont="1"/>
    <xf borderId="99" fillId="2" fontId="15" numFmtId="165" xfId="0" applyAlignment="1" applyBorder="1" applyFill="1" applyFont="1" applyNumberFormat="1">
      <alignment horizontal="center" vertical="center"/>
    </xf>
    <xf borderId="98" fillId="2" fontId="15" numFmtId="165" xfId="0" applyAlignment="1" applyBorder="1" applyFill="1" applyFont="1" applyNumberFormat="1">
      <alignment horizontal="center" vertical="center"/>
    </xf>
    <xf borderId="106" fillId="0" fontId="14" numFmtId="0" xfId="0" applyAlignment="1" applyBorder="1" applyFont="1">
      <alignment horizontal="center" shrinkToFit="0" wrapText="1"/>
    </xf>
    <xf borderId="107" fillId="0" fontId="15" numFmtId="0" xfId="0" applyBorder="1" applyFont="1"/>
    <xf borderId="23"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vertical="center"/>
    </xf>
    <xf borderId="109" fillId="0" fontId="3" numFmtId="0" xfId="0" applyBorder="1" applyFont="1"/>
    <xf borderId="71" fillId="2" fontId="15" numFmtId="165" xfId="0" applyAlignment="1" applyBorder="1" applyFill="1" applyFont="1" applyNumberFormat="1">
      <alignment horizontal="center" vertical="center"/>
    </xf>
    <xf borderId="70" fillId="2" fontId="15" numFmtId="165" xfId="0" applyAlignment="1" applyBorder="1" applyFill="1" applyFont="1" applyNumberFormat="1">
      <alignment horizontal="center" vertical="center"/>
    </xf>
    <xf borderId="75" fillId="0" fontId="15" numFmtId="0" xfId="0" applyBorder="1" applyFont="1"/>
    <xf borderId="75" fillId="0" fontId="15" numFmtId="0" xfId="0" applyBorder="1" applyFont="1"/>
    <xf borderId="67" fillId="0" fontId="14" numFmtId="0" xfId="0" applyAlignment="1" applyBorder="1" applyFont="1">
      <alignment horizontal="center" shrinkToFit="0" wrapText="1"/>
    </xf>
    <xf borderId="84" fillId="2" fontId="15" numFmtId="165" xfId="0" applyAlignment="1" applyBorder="1" applyFill="1" applyFont="1" applyNumberFormat="1">
      <alignment horizontal="center" vertical="center"/>
    </xf>
    <xf borderId="85" fillId="2" fontId="15" numFmtId="165" xfId="0" applyAlignment="1" applyBorder="1" applyFill="1" applyFont="1" applyNumberFormat="1">
      <alignment horizontal="center" vertical="center"/>
    </xf>
    <xf borderId="110" fillId="2" fontId="14" numFmtId="0" xfId="0" applyAlignment="1" applyBorder="1" applyFill="1" applyFont="1">
      <alignment horizontal="left" readingOrder="0" shrinkToFit="0" vertical="center" wrapText="1"/>
    </xf>
    <xf borderId="2" fillId="2" fontId="22" numFmtId="164" xfId="0" applyAlignment="1" applyBorder="1" applyFill="1" applyFont="1" applyNumberFormat="1">
      <alignment vertical="center"/>
    </xf>
    <xf borderId="111" fillId="0" fontId="15" numFmtId="0" xfId="0" applyAlignment="1" applyBorder="1" applyFont="1">
      <alignment vertical="center"/>
    </xf>
    <xf borderId="85" fillId="0" fontId="15" numFmtId="0" xfId="0" applyAlignment="1" applyBorder="1" applyFont="1">
      <alignment vertical="center"/>
    </xf>
    <xf borderId="94" fillId="0" fontId="14" numFmtId="0" xfId="0" applyAlignment="1" applyBorder="1" applyFont="1">
      <alignment horizontal="center" readingOrder="0" shrinkToFit="0" vertical="center" wrapText="1"/>
    </xf>
    <xf borderId="87" fillId="0" fontId="15" numFmtId="0" xfId="0" applyAlignment="1" applyBorder="1" applyFont="1">
      <alignment vertical="center"/>
    </xf>
    <xf borderId="79" fillId="10" fontId="14" numFmtId="0" xfId="0" applyAlignment="1" applyBorder="1" applyFill="1" applyFont="1">
      <alignment horizontal="center"/>
    </xf>
    <xf borderId="112" fillId="0" fontId="3" numFmtId="0" xfId="0" applyBorder="1" applyFont="1"/>
    <xf borderId="113" fillId="0" fontId="3" numFmtId="0" xfId="0" applyBorder="1" applyFont="1"/>
    <xf borderId="114" fillId="5" fontId="1" numFmtId="0" xfId="0" applyAlignment="1" applyBorder="1" applyFill="1" applyFont="1">
      <alignment horizontal="center" readingOrder="0" vertical="center"/>
    </xf>
    <xf borderId="115" fillId="0" fontId="3" numFmtId="0" xfId="0" applyBorder="1" applyFont="1"/>
    <xf borderId="116" fillId="2" fontId="14" numFmtId="0" xfId="0" applyAlignment="1" applyBorder="1" applyFill="1" applyFont="1">
      <alignment horizontal="left" readingOrder="0" shrinkToFit="0" vertical="center" wrapText="1"/>
    </xf>
    <xf borderId="117" fillId="2" fontId="14" numFmtId="0" xfId="0" applyAlignment="1" applyBorder="1" applyFill="1" applyFont="1">
      <alignment horizontal="left" readingOrder="0" shrinkToFit="0" vertical="center" wrapText="1"/>
    </xf>
    <xf borderId="9" fillId="5" fontId="24" numFmtId="0" xfId="0" applyAlignment="1" applyBorder="1" applyFill="1" applyFont="1">
      <alignment horizontal="center" readingOrder="0" shrinkToFit="0" vertical="center" wrapText="1"/>
    </xf>
    <xf borderId="69" fillId="0" fontId="15" numFmtId="0" xfId="0" applyBorder="1" applyFont="1"/>
    <xf borderId="118" fillId="0" fontId="3" numFmtId="0" xfId="0" applyBorder="1" applyFont="1"/>
    <xf borderId="23" fillId="0" fontId="3" numFmtId="0" xfId="0" applyBorder="1" applyFont="1"/>
    <xf borderId="119" fillId="0" fontId="14" numFmtId="0" xfId="0" applyAlignment="1" applyBorder="1" applyFont="1">
      <alignment horizontal="center" shrinkToFit="0" vertical="center" wrapText="1"/>
    </xf>
    <xf borderId="121" fillId="2" fontId="15" numFmtId="0" xfId="0" applyAlignment="1" applyBorder="1" applyFill="1" applyFont="1">
      <alignment horizontal="center" vertical="center"/>
    </xf>
    <xf borderId="122" fillId="2" fontId="15" numFmtId="0" xfId="0" applyAlignment="1" applyBorder="1" applyFill="1" applyFont="1">
      <alignment horizontal="center" vertical="center"/>
    </xf>
    <xf borderId="123" fillId="2" fontId="15" numFmtId="165" xfId="0" applyAlignment="1" applyBorder="1" applyFill="1" applyFont="1" applyNumberFormat="1">
      <alignment horizontal="center" vertical="center"/>
    </xf>
    <xf borderId="122" fillId="2" fontId="15" numFmtId="165" xfId="0" applyAlignment="1" applyBorder="1" applyFill="1" applyFont="1" applyNumberFormat="1">
      <alignment horizontal="center" vertical="center"/>
    </xf>
    <xf borderId="124" fillId="2" fontId="15" numFmtId="0" xfId="0" applyAlignment="1" applyBorder="1" applyFill="1" applyFont="1">
      <alignment horizontal="center" vertical="center"/>
    </xf>
    <xf borderId="120" fillId="2" fontId="14" numFmtId="0" xfId="0" applyAlignment="1" applyBorder="1" applyFill="1" applyFont="1">
      <alignment horizontal="left" readingOrder="0" shrinkToFit="0" vertical="center" wrapText="1"/>
    </xf>
    <xf borderId="62" fillId="8" fontId="5" numFmtId="0" xfId="0" applyAlignment="1" applyBorder="1" applyFill="1" applyFont="1">
      <alignment horizontal="center" readingOrder="0" shrinkToFit="0" vertical="center" wrapText="1"/>
    </xf>
    <xf borderId="125" fillId="0" fontId="15" numFmtId="0" xfId="0" applyAlignment="1" applyBorder="1" applyFont="1">
      <alignment vertical="center"/>
    </xf>
    <xf borderId="106" fillId="0" fontId="15" numFmtId="0" xfId="0" applyAlignment="1" applyBorder="1" applyFont="1">
      <alignment vertical="center"/>
    </xf>
    <xf borderId="126" fillId="10" fontId="14" numFmtId="0" xfId="0" applyAlignment="1" applyBorder="1" applyFill="1" applyFont="1">
      <alignment horizontal="center" vertical="center"/>
    </xf>
    <xf borderId="113" fillId="2" fontId="14" numFmtId="0" xfId="0" applyAlignment="1" applyBorder="1" applyFill="1" applyFont="1">
      <alignment horizontal="left" readingOrder="0" shrinkToFit="0" vertical="center" wrapText="1"/>
    </xf>
    <xf borderId="127" fillId="2" fontId="14" numFmtId="0" xfId="0" applyAlignment="1" applyBorder="1" applyFill="1" applyFont="1">
      <alignment horizontal="left" readingOrder="0" shrinkToFit="0" vertical="center" wrapText="1"/>
    </xf>
    <xf borderId="29" fillId="2" fontId="14" numFmtId="0" xfId="0" applyAlignment="1" applyBorder="1" applyFill="1" applyFont="1">
      <alignment horizontal="left" readingOrder="0" shrinkToFit="0" vertical="center" wrapText="1"/>
    </xf>
    <xf borderId="128" fillId="0" fontId="25" numFmtId="0" xfId="0" applyBorder="1" applyFont="1"/>
    <xf borderId="85" fillId="0" fontId="15" numFmtId="164" xfId="0" applyAlignment="1" applyBorder="1" applyFont="1" applyNumberFormat="1">
      <alignment vertical="center"/>
    </xf>
    <xf borderId="94" fillId="0" fontId="15" numFmtId="0" xfId="0" applyAlignment="1" applyBorder="1" applyFont="1">
      <alignment vertical="center"/>
    </xf>
    <xf borderId="129" fillId="0" fontId="15" numFmtId="0" xfId="0" applyAlignment="1" applyBorder="1" applyFont="1">
      <alignment vertical="center"/>
    </xf>
    <xf borderId="81" fillId="10" fontId="14" numFmtId="0" xfId="0" applyAlignment="1" applyBorder="1" applyFill="1" applyFont="1">
      <alignment horizontal="center"/>
    </xf>
    <xf borderId="85" fillId="0" fontId="15" numFmtId="164" xfId="0" applyBorder="1" applyFont="1" applyNumberFormat="1"/>
    <xf borderId="106" fillId="0" fontId="15" numFmtId="0" xfId="0" applyBorder="1" applyFont="1"/>
    <xf borderId="130" fillId="0" fontId="15" numFmtId="0" xfId="0" applyBorder="1" applyFont="1"/>
    <xf borderId="131" fillId="0" fontId="25" numFmtId="0" xfId="0" applyBorder="1" applyFont="1"/>
    <xf borderId="132" fillId="5" fontId="7" numFmtId="0" xfId="0" applyAlignment="1" applyBorder="1" applyFill="1" applyFont="1">
      <alignment horizontal="center" shrinkToFit="0" wrapText="1"/>
    </xf>
    <xf borderId="133" fillId="5" fontId="7" numFmtId="0" xfId="0" applyAlignment="1" applyBorder="1" applyFill="1" applyFont="1">
      <alignment horizontal="center" shrinkToFit="0" wrapText="1"/>
    </xf>
    <xf borderId="131" fillId="2" fontId="22" numFmtId="164" xfId="0" applyAlignment="1" applyBorder="1" applyFill="1" applyFont="1" applyNumberFormat="1">
      <alignment vertical="center"/>
    </xf>
    <xf borderId="125" fillId="0" fontId="15" numFmtId="164" xfId="0" applyAlignment="1" applyBorder="1" applyFont="1" applyNumberFormat="1">
      <alignment vertical="center"/>
    </xf>
    <xf borderId="54" fillId="0" fontId="15" numFmtId="0" xfId="0" applyBorder="1" applyFont="1"/>
    <xf borderId="106" fillId="0" fontId="14" numFmtId="0" xfId="0" applyAlignment="1" applyBorder="1" applyFont="1">
      <alignment horizontal="center" readingOrder="0" shrinkToFit="0" vertical="center" wrapText="1"/>
    </xf>
    <xf borderId="134" fillId="0" fontId="15" numFmtId="0" xfId="0" applyAlignment="1" applyBorder="1" applyFont="1">
      <alignment vertical="center"/>
    </xf>
    <xf borderId="79" fillId="10" fontId="14" numFmtId="0" xfId="0" applyAlignment="1" applyBorder="1" applyFill="1" applyFont="1">
      <alignment horizontal="center"/>
    </xf>
    <xf borderId="135" fillId="8" fontId="5" numFmtId="166" xfId="0" applyAlignment="1" applyBorder="1" applyFill="1" applyFont="1" applyNumberFormat="1">
      <alignment horizontal="center" readingOrder="0" shrinkToFit="0" vertical="center" wrapText="1"/>
    </xf>
    <xf borderId="32" fillId="4" fontId="17" numFmtId="0" xfId="0" applyAlignment="1" applyBorder="1" applyFill="1" applyFont="1">
      <alignment horizontal="center" shrinkToFit="0" vertical="center" wrapText="1"/>
    </xf>
    <xf borderId="136" fillId="2" fontId="26" numFmtId="0" xfId="0" applyAlignment="1" applyBorder="1" applyFill="1" applyFont="1">
      <alignment horizontal="center" shrinkToFit="0" vertical="center" wrapText="1"/>
    </xf>
    <xf borderId="137" fillId="0" fontId="3" numFmtId="0" xfId="0" applyBorder="1" applyFont="1"/>
    <xf borderId="138" fillId="0" fontId="3" numFmtId="0" xfId="0" applyBorder="1" applyFont="1"/>
    <xf borderId="139" fillId="0" fontId="3" numFmtId="0" xfId="0" applyBorder="1" applyFont="1"/>
    <xf borderId="140" fillId="2" fontId="26" numFmtId="165" xfId="0" applyAlignment="1" applyBorder="1" applyFill="1" applyFont="1" applyNumberFormat="1">
      <alignment horizontal="center" shrinkToFit="0" wrapText="1"/>
    </xf>
    <xf borderId="141" fillId="2" fontId="26" numFmtId="0" xfId="0" applyAlignment="1" applyBorder="1" applyFill="1" applyFont="1">
      <alignment horizontal="center" shrinkToFit="0" wrapText="1"/>
    </xf>
    <xf borderId="141" fillId="0" fontId="3" numFmtId="0" xfId="0" applyBorder="1" applyFont="1"/>
    <xf borderId="142" fillId="0" fontId="3" numFmtId="0" xfId="0" applyBorder="1" applyFont="1"/>
    <xf borderId="0" fillId="2" fontId="15" numFmtId="164" xfId="0" applyAlignment="1" applyFill="1" applyFont="1" applyNumberFormat="1">
      <alignment vertical="center"/>
    </xf>
    <xf borderId="143" fillId="2" fontId="15" numFmtId="164"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23.0"/>
    <col customWidth="1" min="3" max="3" width="71.88"/>
    <col customWidth="1" min="4" max="4" width="56.13"/>
    <col customWidth="1" min="5" max="5" width="49.63"/>
    <col hidden="1" min="6" max="19" width="12.63"/>
  </cols>
  <sheetData>
    <row r="1" ht="94.5" customHeight="1">
      <c r="A1" s="1"/>
    </row>
    <row r="2" ht="36.75" customHeight="1">
      <c r="A2" s="2" t="s">
        <v>0</v>
      </c>
      <c r="B2" s="3"/>
      <c r="C2" s="3"/>
      <c r="D2" s="3"/>
      <c r="E2" s="3"/>
      <c r="F2" s="3"/>
      <c r="G2" s="3"/>
      <c r="H2" s="3"/>
      <c r="I2" s="3"/>
      <c r="J2" s="3"/>
      <c r="K2" s="3"/>
      <c r="L2" s="3"/>
      <c r="M2" s="3"/>
      <c r="N2" s="3"/>
      <c r="O2" s="3"/>
      <c r="P2" s="3"/>
      <c r="Q2" s="3"/>
      <c r="R2" s="3"/>
      <c r="S2" s="3"/>
    </row>
    <row r="3" ht="24.0" customHeight="1">
      <c r="A3" s="4"/>
    </row>
    <row r="4" ht="110.25" customHeight="1">
      <c r="A4" s="5" t="s">
        <v>1</v>
      </c>
      <c r="B4" s="6"/>
      <c r="C4" s="7" t="s">
        <v>3</v>
      </c>
      <c r="D4" s="9"/>
      <c r="E4" s="10"/>
      <c r="F4" s="11"/>
      <c r="G4" s="11"/>
      <c r="H4" s="11"/>
      <c r="I4" s="11"/>
      <c r="J4" s="11"/>
      <c r="K4" s="11"/>
      <c r="L4" s="11"/>
      <c r="M4" s="11"/>
      <c r="N4" s="11"/>
      <c r="O4" s="11"/>
      <c r="P4" s="11"/>
      <c r="Q4" s="11"/>
      <c r="R4" s="11"/>
      <c r="S4" s="14"/>
    </row>
    <row r="5" ht="27.75" customHeight="1">
      <c r="A5" s="15"/>
    </row>
    <row r="6" ht="36.0" customHeight="1">
      <c r="A6" s="16" t="s">
        <v>6</v>
      </c>
      <c r="B6" s="16" t="s">
        <v>7</v>
      </c>
      <c r="C6" s="18" t="s">
        <v>8</v>
      </c>
      <c r="D6" s="19"/>
      <c r="E6" s="22" t="s">
        <v>10</v>
      </c>
      <c r="F6" s="24"/>
      <c r="G6" s="24"/>
      <c r="H6" s="24"/>
      <c r="I6" s="24"/>
      <c r="J6" s="28"/>
      <c r="K6" s="28"/>
      <c r="L6" s="28"/>
      <c r="M6" s="28"/>
      <c r="N6" s="28"/>
      <c r="O6" s="28"/>
      <c r="P6" s="28"/>
      <c r="Q6" s="28"/>
      <c r="R6" s="28"/>
      <c r="S6" s="30"/>
    </row>
    <row r="7">
      <c r="A7" s="31" t="s">
        <v>20</v>
      </c>
      <c r="B7" s="33" t="s">
        <v>21</v>
      </c>
      <c r="C7" s="35" t="s">
        <v>22</v>
      </c>
      <c r="D7" s="19"/>
      <c r="E7" s="39"/>
      <c r="F7" s="42"/>
      <c r="G7" s="42"/>
      <c r="H7" s="28"/>
      <c r="I7" s="28"/>
      <c r="J7" s="28"/>
      <c r="K7" s="28"/>
      <c r="L7" s="28"/>
      <c r="M7" s="28"/>
      <c r="N7" s="28"/>
      <c r="O7" s="28"/>
      <c r="P7" s="28"/>
      <c r="Q7" s="28"/>
      <c r="R7" s="28"/>
      <c r="S7" s="30"/>
    </row>
    <row r="8">
      <c r="A8" s="31" t="s">
        <v>26</v>
      </c>
      <c r="B8" s="33" t="s">
        <v>21</v>
      </c>
      <c r="C8" s="35" t="s">
        <v>29</v>
      </c>
      <c r="D8" s="19"/>
      <c r="E8" s="48" t="s">
        <v>31</v>
      </c>
      <c r="F8" s="42"/>
      <c r="G8" s="42"/>
      <c r="H8" s="51"/>
      <c r="I8" s="51"/>
      <c r="J8" s="51"/>
      <c r="K8" s="51"/>
      <c r="L8" s="51"/>
      <c r="M8" s="51"/>
      <c r="N8" s="51"/>
      <c r="O8" s="51"/>
      <c r="P8" s="51"/>
      <c r="Q8" s="51"/>
      <c r="R8" s="51"/>
      <c r="S8" s="55"/>
    </row>
    <row r="9">
      <c r="A9" s="31" t="s">
        <v>36</v>
      </c>
      <c r="B9" s="33" t="s">
        <v>37</v>
      </c>
      <c r="C9" s="35" t="s">
        <v>39</v>
      </c>
      <c r="D9" s="19"/>
      <c r="E9" s="48" t="s">
        <v>43</v>
      </c>
      <c r="F9" s="42"/>
      <c r="G9" s="42"/>
      <c r="H9" s="28"/>
      <c r="I9" s="28"/>
      <c r="J9" s="28"/>
      <c r="K9" s="28"/>
      <c r="L9" s="28"/>
      <c r="M9" s="28"/>
      <c r="N9" s="28"/>
      <c r="O9" s="28"/>
      <c r="P9" s="28"/>
      <c r="Q9" s="28"/>
      <c r="R9" s="28"/>
      <c r="S9" s="30"/>
    </row>
  </sheetData>
  <mergeCells count="10">
    <mergeCell ref="C7:D7"/>
    <mergeCell ref="C8:D8"/>
    <mergeCell ref="C9:D9"/>
    <mergeCell ref="A1:S1"/>
    <mergeCell ref="A2:S2"/>
    <mergeCell ref="A3:S3"/>
    <mergeCell ref="A4:B4"/>
    <mergeCell ref="C4:E4"/>
    <mergeCell ref="A5:S5"/>
    <mergeCell ref="C6:D6"/>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0"/>
    <col customWidth="1" min="2" max="2" width="33.5"/>
    <col customWidth="1" min="3" max="3" width="41.25"/>
    <col customWidth="1" min="4" max="4" width="49.63"/>
    <col customWidth="1" min="5" max="5" width="50.63"/>
    <col customWidth="1" min="6" max="6" width="22.25"/>
    <col customWidth="1" min="7" max="7" width="43.13"/>
    <col customWidth="1" min="8" max="8" width="52.13"/>
    <col customWidth="1" min="9" max="9" width="32.38"/>
    <col customWidth="1" min="10" max="10" width="22.25"/>
    <col hidden="1" min="11" max="24" width="12.63"/>
  </cols>
  <sheetData>
    <row r="1" ht="94.5" customHeight="1">
      <c r="A1" s="1"/>
      <c r="J1" s="1"/>
      <c r="K1" s="1"/>
      <c r="L1" s="1"/>
      <c r="M1" s="1"/>
      <c r="N1" s="1"/>
      <c r="O1" s="1"/>
      <c r="P1" s="1"/>
      <c r="Q1" s="1"/>
      <c r="R1" s="1"/>
      <c r="S1" s="1"/>
      <c r="T1" s="1"/>
      <c r="U1" s="1"/>
      <c r="V1" s="1"/>
      <c r="W1" s="1"/>
      <c r="X1" s="1"/>
    </row>
    <row r="2" ht="36.75" customHeight="1">
      <c r="A2" s="2" t="s">
        <v>4</v>
      </c>
      <c r="B2" s="3"/>
      <c r="C2" s="3"/>
      <c r="D2" s="3"/>
      <c r="E2" s="3"/>
      <c r="F2" s="3"/>
      <c r="G2" s="3"/>
      <c r="H2" s="3"/>
      <c r="I2" s="3"/>
      <c r="J2" s="3"/>
      <c r="K2" s="12"/>
      <c r="L2" s="12"/>
      <c r="M2" s="12"/>
      <c r="N2" s="12"/>
      <c r="O2" s="12"/>
      <c r="P2" s="12"/>
      <c r="Q2" s="12"/>
      <c r="R2" s="12"/>
      <c r="S2" s="12"/>
      <c r="T2" s="12"/>
      <c r="U2" s="12"/>
      <c r="V2" s="12"/>
      <c r="W2" s="12"/>
      <c r="X2" s="12"/>
    </row>
    <row r="3" ht="24.0" customHeight="1">
      <c r="A3" s="4"/>
    </row>
    <row r="4" ht="37.5" customHeight="1">
      <c r="A4" s="25" t="s">
        <v>13</v>
      </c>
      <c r="B4" s="29" t="s">
        <v>18</v>
      </c>
      <c r="C4" s="34" t="s">
        <v>19</v>
      </c>
      <c r="D4" s="36"/>
      <c r="E4" s="36"/>
      <c r="F4" s="38"/>
      <c r="G4" s="34" t="s">
        <v>24</v>
      </c>
      <c r="H4" s="36"/>
      <c r="I4" s="36"/>
      <c r="J4" s="44"/>
      <c r="K4" s="46" t="s">
        <v>28</v>
      </c>
      <c r="L4" s="50" t="s">
        <v>32</v>
      </c>
      <c r="M4" s="53"/>
      <c r="N4" s="53"/>
      <c r="O4" s="28"/>
      <c r="P4" s="28"/>
      <c r="Q4" s="28"/>
      <c r="R4" s="28"/>
      <c r="S4" s="28"/>
      <c r="T4" s="28"/>
      <c r="U4" s="28"/>
      <c r="V4" s="28"/>
      <c r="W4" s="28"/>
      <c r="X4" s="30"/>
    </row>
    <row r="5" ht="37.5" customHeight="1">
      <c r="A5" s="58"/>
      <c r="B5" s="60"/>
      <c r="C5" s="62" t="s">
        <v>41</v>
      </c>
      <c r="D5" s="64" t="s">
        <v>45</v>
      </c>
      <c r="E5" s="64" t="s">
        <v>47</v>
      </c>
      <c r="F5" s="64" t="s">
        <v>48</v>
      </c>
      <c r="G5" s="69" t="s">
        <v>41</v>
      </c>
      <c r="H5" s="70" t="s">
        <v>45</v>
      </c>
      <c r="I5" s="64" t="s">
        <v>47</v>
      </c>
      <c r="J5" s="73" t="s">
        <v>48</v>
      </c>
      <c r="K5" s="74"/>
      <c r="L5" s="75"/>
      <c r="M5" s="28"/>
      <c r="N5" s="28"/>
      <c r="O5" s="28"/>
      <c r="P5" s="28"/>
      <c r="Q5" s="28"/>
      <c r="R5" s="28"/>
      <c r="S5" s="28"/>
      <c r="T5" s="28"/>
      <c r="U5" s="28"/>
      <c r="V5" s="28"/>
      <c r="W5" s="28"/>
      <c r="X5" s="30"/>
    </row>
    <row r="6" ht="37.5" customHeight="1">
      <c r="A6" s="80" t="s">
        <v>63</v>
      </c>
      <c r="B6" s="81"/>
      <c r="C6" s="83" t="s">
        <v>66</v>
      </c>
      <c r="D6" s="84"/>
      <c r="E6" s="84"/>
      <c r="F6" s="85"/>
      <c r="G6" s="89"/>
      <c r="H6" s="84"/>
      <c r="I6" s="84"/>
      <c r="J6" s="90"/>
      <c r="K6" s="60"/>
      <c r="L6" s="93"/>
      <c r="M6" s="51"/>
      <c r="N6" s="51"/>
      <c r="O6" s="51"/>
      <c r="P6" s="51"/>
      <c r="Q6" s="51"/>
      <c r="R6" s="51"/>
      <c r="S6" s="51"/>
      <c r="T6" s="51"/>
      <c r="U6" s="51"/>
      <c r="V6" s="51"/>
      <c r="W6" s="51"/>
      <c r="X6" s="55"/>
    </row>
    <row r="7" ht="37.5" customHeight="1">
      <c r="A7" s="101" t="s">
        <v>73</v>
      </c>
      <c r="B7" s="103" t="s">
        <v>74</v>
      </c>
      <c r="C7" s="105" t="s">
        <v>75</v>
      </c>
      <c r="D7" s="107"/>
      <c r="E7" s="108"/>
      <c r="F7" s="108"/>
      <c r="G7" s="109"/>
      <c r="H7" s="108"/>
      <c r="I7" s="108"/>
      <c r="J7" s="112"/>
      <c r="K7" s="113" t="s">
        <v>80</v>
      </c>
      <c r="L7" s="116" t="s">
        <v>81</v>
      </c>
      <c r="M7" s="28"/>
      <c r="N7" s="28"/>
      <c r="O7" s="28"/>
      <c r="P7" s="28"/>
      <c r="Q7" s="28"/>
      <c r="R7" s="28"/>
      <c r="S7" s="28"/>
      <c r="T7" s="28"/>
      <c r="U7" s="28"/>
      <c r="V7" s="28"/>
      <c r="W7" s="28"/>
      <c r="X7" s="30"/>
    </row>
    <row r="8" ht="89.25" customHeight="1">
      <c r="A8" s="121" t="s">
        <v>84</v>
      </c>
      <c r="B8" s="122" t="s">
        <v>86</v>
      </c>
      <c r="C8" s="123"/>
      <c r="D8" s="128" t="s">
        <v>90</v>
      </c>
      <c r="E8" s="107"/>
      <c r="F8" s="108"/>
      <c r="G8" s="109"/>
      <c r="H8" s="108"/>
      <c r="I8" s="108"/>
      <c r="J8" s="112"/>
      <c r="K8" s="130"/>
      <c r="L8" s="131"/>
      <c r="M8" s="28"/>
      <c r="N8" s="28"/>
      <c r="O8" s="28"/>
      <c r="P8" s="28"/>
      <c r="Q8" s="28"/>
      <c r="R8" s="28"/>
      <c r="S8" s="28"/>
      <c r="T8" s="28"/>
      <c r="U8" s="28"/>
      <c r="V8" s="28"/>
      <c r="W8" s="28"/>
      <c r="X8" s="30"/>
    </row>
    <row r="9" ht="37.5" customHeight="1">
      <c r="A9" s="135"/>
      <c r="B9" s="137" t="s">
        <v>98</v>
      </c>
      <c r="C9" s="123"/>
      <c r="D9" s="128" t="s">
        <v>100</v>
      </c>
      <c r="E9" s="139"/>
      <c r="F9" s="107"/>
      <c r="G9" s="109"/>
      <c r="H9" s="108"/>
      <c r="I9" s="108"/>
      <c r="J9" s="112"/>
      <c r="K9" s="130"/>
      <c r="L9" s="131"/>
      <c r="M9" s="28"/>
      <c r="N9" s="28"/>
      <c r="O9" s="28"/>
      <c r="P9" s="28"/>
      <c r="Q9" s="28"/>
      <c r="R9" s="28"/>
      <c r="S9" s="28"/>
      <c r="T9" s="28"/>
      <c r="U9" s="28"/>
      <c r="V9" s="28"/>
      <c r="W9" s="28"/>
      <c r="X9" s="30"/>
    </row>
    <row r="10" ht="37.5" customHeight="1">
      <c r="A10" s="143"/>
      <c r="B10" s="144"/>
      <c r="C10" s="145"/>
      <c r="D10" s="146"/>
      <c r="E10" s="148" t="s">
        <v>103</v>
      </c>
      <c r="F10" s="145"/>
      <c r="G10" s="149"/>
      <c r="H10" s="150"/>
      <c r="I10" s="150"/>
      <c r="J10" s="152"/>
      <c r="K10" s="130"/>
      <c r="L10" s="131"/>
      <c r="M10" s="28"/>
      <c r="N10" s="28"/>
      <c r="O10" s="28"/>
      <c r="P10" s="28"/>
      <c r="Q10" s="28"/>
      <c r="R10" s="28"/>
      <c r="S10" s="28"/>
      <c r="T10" s="28"/>
      <c r="U10" s="28"/>
      <c r="V10" s="28"/>
      <c r="W10" s="28"/>
      <c r="X10" s="30"/>
    </row>
    <row r="11" ht="78.0" customHeight="1">
      <c r="A11" s="156"/>
      <c r="B11" s="157" t="s">
        <v>106</v>
      </c>
      <c r="C11" s="145"/>
      <c r="D11" s="150"/>
      <c r="E11" s="159"/>
      <c r="F11" s="160" t="s">
        <v>107</v>
      </c>
      <c r="G11" s="149"/>
      <c r="H11" s="150"/>
      <c r="I11" s="150"/>
      <c r="J11" s="152"/>
      <c r="K11" s="161"/>
      <c r="L11" s="163"/>
      <c r="M11" s="28"/>
      <c r="N11" s="28"/>
      <c r="O11" s="28"/>
      <c r="P11" s="28"/>
      <c r="Q11" s="28"/>
      <c r="R11" s="28"/>
      <c r="S11" s="28"/>
      <c r="T11" s="28"/>
      <c r="U11" s="28"/>
      <c r="V11" s="28"/>
      <c r="W11" s="28"/>
      <c r="X11" s="30"/>
    </row>
    <row r="12" ht="37.5" customHeight="1">
      <c r="A12" s="80" t="s">
        <v>109</v>
      </c>
      <c r="B12" s="81"/>
      <c r="C12" s="166"/>
      <c r="D12" s="167"/>
      <c r="E12" s="167"/>
      <c r="F12" s="167"/>
      <c r="G12" s="169"/>
      <c r="H12" s="167"/>
      <c r="I12" s="167"/>
      <c r="J12" s="171"/>
      <c r="K12" s="173" t="s">
        <v>113</v>
      </c>
      <c r="L12" s="173" t="s">
        <v>114</v>
      </c>
      <c r="M12" s="51"/>
      <c r="N12" s="51"/>
      <c r="O12" s="51"/>
      <c r="P12" s="51"/>
      <c r="Q12" s="51"/>
      <c r="R12" s="51"/>
      <c r="S12" s="51"/>
      <c r="T12" s="51"/>
      <c r="U12" s="51"/>
      <c r="V12" s="51"/>
      <c r="W12" s="51"/>
      <c r="X12" s="55"/>
    </row>
    <row r="13" ht="54.75" customHeight="1">
      <c r="A13" s="176"/>
      <c r="B13" s="103" t="s">
        <v>116</v>
      </c>
      <c r="C13" s="123"/>
      <c r="D13" s="108"/>
      <c r="E13" s="108"/>
      <c r="F13" s="108"/>
      <c r="G13" s="109"/>
      <c r="H13" s="108"/>
      <c r="I13" s="108"/>
      <c r="J13" s="112"/>
      <c r="K13" s="131"/>
      <c r="L13" s="131"/>
      <c r="M13" s="28"/>
      <c r="N13" s="28"/>
      <c r="O13" s="28"/>
      <c r="P13" s="28"/>
      <c r="Q13" s="28"/>
      <c r="R13" s="28"/>
      <c r="S13" s="28"/>
      <c r="T13" s="28"/>
      <c r="U13" s="28"/>
      <c r="V13" s="28"/>
      <c r="W13" s="28"/>
      <c r="X13" s="30"/>
    </row>
    <row r="14" ht="94.5" customHeight="1">
      <c r="A14" s="177"/>
      <c r="B14" s="122" t="s">
        <v>86</v>
      </c>
      <c r="C14" s="123"/>
      <c r="D14" s="108"/>
      <c r="E14" s="108"/>
      <c r="F14" s="108"/>
      <c r="G14" s="109"/>
      <c r="H14" s="108"/>
      <c r="I14" s="108"/>
      <c r="J14" s="112"/>
      <c r="K14" s="131"/>
      <c r="L14" s="131"/>
      <c r="M14" s="28"/>
      <c r="N14" s="28"/>
      <c r="O14" s="28"/>
      <c r="P14" s="28"/>
      <c r="Q14" s="28"/>
      <c r="R14" s="28"/>
      <c r="S14" s="28"/>
      <c r="T14" s="28"/>
      <c r="U14" s="28"/>
      <c r="V14" s="28"/>
      <c r="W14" s="28"/>
      <c r="X14" s="30"/>
    </row>
    <row r="15" ht="37.5" customHeight="1">
      <c r="A15" s="177"/>
      <c r="B15" s="122" t="s">
        <v>98</v>
      </c>
      <c r="C15" s="123"/>
      <c r="D15" s="108"/>
      <c r="E15" s="108"/>
      <c r="F15" s="108"/>
      <c r="G15" s="109"/>
      <c r="H15" s="108"/>
      <c r="I15" s="108"/>
      <c r="J15" s="112"/>
      <c r="K15" s="131"/>
      <c r="L15" s="131"/>
      <c r="M15" s="28"/>
      <c r="N15" s="28"/>
      <c r="O15" s="28"/>
      <c r="P15" s="28"/>
      <c r="Q15" s="28"/>
      <c r="R15" s="28"/>
      <c r="S15" s="28"/>
      <c r="T15" s="28"/>
      <c r="U15" s="28"/>
      <c r="V15" s="28"/>
      <c r="W15" s="28"/>
      <c r="X15" s="30"/>
    </row>
    <row r="16" ht="67.5" customHeight="1">
      <c r="A16" s="156"/>
      <c r="B16" s="157" t="s">
        <v>106</v>
      </c>
      <c r="C16" s="145"/>
      <c r="D16" s="150"/>
      <c r="E16" s="150"/>
      <c r="F16" s="150"/>
      <c r="G16" s="149"/>
      <c r="H16" s="150"/>
      <c r="I16" s="150"/>
      <c r="J16" s="152"/>
      <c r="K16" s="163"/>
      <c r="L16" s="163"/>
      <c r="M16" s="28"/>
      <c r="N16" s="28"/>
      <c r="O16" s="28"/>
      <c r="P16" s="28"/>
      <c r="Q16" s="28"/>
      <c r="R16" s="28"/>
      <c r="S16" s="28"/>
      <c r="T16" s="28"/>
      <c r="U16" s="28"/>
      <c r="V16" s="28"/>
      <c r="W16" s="28"/>
      <c r="X16" s="30"/>
    </row>
    <row r="17" ht="66.0" customHeight="1">
      <c r="A17" s="80" t="s">
        <v>117</v>
      </c>
      <c r="B17" s="81"/>
      <c r="C17" s="166"/>
      <c r="D17" s="167"/>
      <c r="E17" s="167"/>
      <c r="F17" s="167"/>
      <c r="G17" s="182"/>
      <c r="H17" s="183"/>
      <c r="I17" s="167"/>
      <c r="J17" s="171"/>
      <c r="K17" s="173" t="s">
        <v>119</v>
      </c>
      <c r="L17" s="173" t="s">
        <v>120</v>
      </c>
      <c r="M17" s="51"/>
      <c r="N17" s="51"/>
      <c r="O17" s="51"/>
      <c r="P17" s="51"/>
      <c r="Q17" s="51"/>
      <c r="R17" s="51"/>
      <c r="S17" s="51"/>
      <c r="T17" s="51"/>
      <c r="U17" s="51"/>
      <c r="V17" s="51"/>
      <c r="W17" s="51"/>
      <c r="X17" s="55"/>
    </row>
    <row r="18" ht="66.0" customHeight="1">
      <c r="A18" s="176"/>
      <c r="B18" s="103" t="s">
        <v>116</v>
      </c>
      <c r="C18" s="123"/>
      <c r="D18" s="108"/>
      <c r="E18" s="108"/>
      <c r="F18" s="108"/>
      <c r="G18" s="190"/>
      <c r="H18" s="191"/>
      <c r="I18" s="108"/>
      <c r="J18" s="112"/>
      <c r="K18" s="131"/>
      <c r="L18" s="131"/>
      <c r="M18" s="126"/>
      <c r="N18" s="126"/>
      <c r="O18" s="126"/>
      <c r="P18" s="126"/>
      <c r="Q18" s="126"/>
      <c r="R18" s="126"/>
      <c r="S18" s="126"/>
      <c r="T18" s="126"/>
      <c r="U18" s="126"/>
      <c r="V18" s="126"/>
      <c r="W18" s="126"/>
      <c r="X18" s="126"/>
    </row>
    <row r="19" ht="66.0" customHeight="1">
      <c r="A19" s="177"/>
      <c r="B19" s="122" t="s">
        <v>86</v>
      </c>
      <c r="C19" s="123"/>
      <c r="D19" s="108"/>
      <c r="E19" s="108"/>
      <c r="F19" s="108"/>
      <c r="G19" s="190"/>
      <c r="H19" s="191"/>
      <c r="I19" s="108"/>
      <c r="J19" s="112"/>
      <c r="K19" s="131"/>
      <c r="L19" s="131"/>
      <c r="M19" s="126"/>
      <c r="N19" s="126"/>
      <c r="O19" s="126"/>
      <c r="P19" s="126"/>
      <c r="Q19" s="126"/>
      <c r="R19" s="126"/>
      <c r="S19" s="126"/>
      <c r="T19" s="126"/>
      <c r="U19" s="126"/>
      <c r="V19" s="126"/>
      <c r="W19" s="126"/>
      <c r="X19" s="126"/>
    </row>
    <row r="20" ht="66.0" customHeight="1">
      <c r="A20" s="177"/>
      <c r="B20" s="122" t="s">
        <v>98</v>
      </c>
      <c r="C20" s="123"/>
      <c r="D20" s="108"/>
      <c r="E20" s="108"/>
      <c r="F20" s="108"/>
      <c r="G20" s="190"/>
      <c r="H20" s="191"/>
      <c r="I20" s="108"/>
      <c r="J20" s="112"/>
      <c r="K20" s="131"/>
      <c r="L20" s="131"/>
      <c r="M20" s="126"/>
      <c r="N20" s="126"/>
      <c r="O20" s="126"/>
      <c r="P20" s="126"/>
      <c r="Q20" s="126"/>
      <c r="R20" s="126"/>
      <c r="S20" s="126"/>
      <c r="T20" s="126"/>
      <c r="U20" s="126"/>
      <c r="V20" s="126"/>
      <c r="W20" s="126"/>
      <c r="X20" s="126"/>
    </row>
    <row r="21" ht="66.0" customHeight="1">
      <c r="A21" s="156"/>
      <c r="B21" s="157" t="s">
        <v>106</v>
      </c>
      <c r="C21" s="145"/>
      <c r="D21" s="150"/>
      <c r="E21" s="150"/>
      <c r="F21" s="150"/>
      <c r="G21" s="195"/>
      <c r="H21" s="196"/>
      <c r="I21" s="150"/>
      <c r="J21" s="152"/>
      <c r="K21" s="163"/>
      <c r="L21" s="163"/>
      <c r="M21" s="126"/>
      <c r="N21" s="126"/>
      <c r="O21" s="126"/>
      <c r="P21" s="126"/>
      <c r="Q21" s="126"/>
      <c r="R21" s="126"/>
      <c r="S21" s="126"/>
      <c r="T21" s="126"/>
      <c r="U21" s="126"/>
      <c r="V21" s="126"/>
      <c r="W21" s="126"/>
      <c r="X21" s="126"/>
    </row>
    <row r="22" ht="66.0" customHeight="1">
      <c r="A22" s="80" t="s">
        <v>127</v>
      </c>
      <c r="B22" s="81"/>
      <c r="C22" s="166"/>
      <c r="D22" s="167"/>
      <c r="E22" s="167"/>
      <c r="F22" s="167"/>
      <c r="G22" s="182"/>
      <c r="H22" s="183"/>
      <c r="I22" s="167"/>
      <c r="J22" s="171"/>
      <c r="K22" s="173" t="s">
        <v>131</v>
      </c>
      <c r="L22" s="173" t="s">
        <v>132</v>
      </c>
      <c r="M22" s="126"/>
      <c r="N22" s="126"/>
      <c r="O22" s="126"/>
      <c r="P22" s="126"/>
      <c r="Q22" s="126"/>
      <c r="R22" s="126"/>
      <c r="S22" s="126"/>
      <c r="T22" s="126"/>
      <c r="U22" s="126"/>
      <c r="V22" s="126"/>
      <c r="W22" s="126"/>
      <c r="X22" s="126"/>
    </row>
    <row r="23" ht="66.0" customHeight="1">
      <c r="A23" s="176"/>
      <c r="B23" s="103" t="s">
        <v>116</v>
      </c>
      <c r="C23" s="123"/>
      <c r="D23" s="108"/>
      <c r="E23" s="108"/>
      <c r="F23" s="108"/>
      <c r="G23" s="190"/>
      <c r="H23" s="191"/>
      <c r="I23" s="108"/>
      <c r="J23" s="112"/>
      <c r="K23" s="131"/>
      <c r="L23" s="131"/>
      <c r="M23" s="126"/>
      <c r="N23" s="126"/>
      <c r="O23" s="126"/>
      <c r="P23" s="126"/>
      <c r="Q23" s="126"/>
      <c r="R23" s="126"/>
      <c r="S23" s="126"/>
      <c r="T23" s="126"/>
      <c r="U23" s="126"/>
      <c r="V23" s="126"/>
      <c r="W23" s="126"/>
      <c r="X23" s="126"/>
    </row>
    <row r="24" ht="66.0" customHeight="1">
      <c r="A24" s="177"/>
      <c r="B24" s="122" t="s">
        <v>86</v>
      </c>
      <c r="C24" s="123"/>
      <c r="D24" s="108"/>
      <c r="E24" s="108"/>
      <c r="F24" s="108"/>
      <c r="G24" s="190"/>
      <c r="H24" s="191"/>
      <c r="I24" s="108"/>
      <c r="J24" s="112"/>
      <c r="K24" s="131"/>
      <c r="L24" s="131"/>
      <c r="M24" s="126"/>
      <c r="N24" s="126"/>
      <c r="O24" s="126"/>
      <c r="P24" s="126"/>
      <c r="Q24" s="126"/>
      <c r="R24" s="126"/>
      <c r="S24" s="126"/>
      <c r="T24" s="126"/>
      <c r="U24" s="126"/>
      <c r="V24" s="126"/>
      <c r="W24" s="126"/>
      <c r="X24" s="126"/>
    </row>
    <row r="25" ht="66.0" customHeight="1">
      <c r="A25" s="177"/>
      <c r="B25" s="122" t="s">
        <v>98</v>
      </c>
      <c r="C25" s="123"/>
      <c r="D25" s="108"/>
      <c r="E25" s="108"/>
      <c r="F25" s="108"/>
      <c r="G25" s="190"/>
      <c r="H25" s="191"/>
      <c r="I25" s="108"/>
      <c r="J25" s="112"/>
      <c r="K25" s="131"/>
      <c r="L25" s="131"/>
      <c r="M25" s="126"/>
      <c r="N25" s="126"/>
      <c r="O25" s="126"/>
      <c r="P25" s="126"/>
      <c r="Q25" s="126"/>
      <c r="R25" s="126"/>
      <c r="S25" s="126"/>
      <c r="T25" s="126"/>
      <c r="U25" s="126"/>
      <c r="V25" s="126"/>
      <c r="W25" s="126"/>
      <c r="X25" s="126"/>
    </row>
    <row r="26" ht="66.0" customHeight="1">
      <c r="A26" s="156"/>
      <c r="B26" s="157" t="s">
        <v>106</v>
      </c>
      <c r="C26" s="145"/>
      <c r="D26" s="150"/>
      <c r="E26" s="150"/>
      <c r="F26" s="150"/>
      <c r="G26" s="195"/>
      <c r="H26" s="196"/>
      <c r="I26" s="150"/>
      <c r="J26" s="152"/>
      <c r="K26" s="163"/>
      <c r="L26" s="163"/>
      <c r="M26" s="126"/>
      <c r="N26" s="126"/>
      <c r="O26" s="126"/>
      <c r="P26" s="126"/>
      <c r="Q26" s="126"/>
      <c r="R26" s="126"/>
      <c r="S26" s="126"/>
      <c r="T26" s="126"/>
      <c r="U26" s="126"/>
      <c r="V26" s="126"/>
      <c r="W26" s="126"/>
      <c r="X26" s="126"/>
    </row>
    <row r="27" ht="66.0" customHeight="1">
      <c r="A27" s="80" t="s">
        <v>135</v>
      </c>
      <c r="B27" s="81"/>
      <c r="C27" s="166"/>
      <c r="D27" s="167"/>
      <c r="E27" s="167"/>
      <c r="F27" s="167"/>
      <c r="G27" s="182"/>
      <c r="H27" s="183"/>
      <c r="I27" s="167"/>
      <c r="J27" s="171"/>
      <c r="K27" s="173" t="s">
        <v>136</v>
      </c>
      <c r="L27" s="173" t="s">
        <v>137</v>
      </c>
      <c r="M27" s="126"/>
      <c r="N27" s="126"/>
      <c r="O27" s="126"/>
      <c r="P27" s="126"/>
      <c r="Q27" s="126"/>
      <c r="R27" s="126"/>
      <c r="S27" s="126"/>
      <c r="T27" s="126"/>
      <c r="U27" s="126"/>
      <c r="V27" s="126"/>
      <c r="W27" s="126"/>
      <c r="X27" s="126"/>
    </row>
    <row r="28" ht="66.0" customHeight="1">
      <c r="A28" s="176"/>
      <c r="B28" s="103" t="s">
        <v>116</v>
      </c>
      <c r="C28" s="123"/>
      <c r="D28" s="108"/>
      <c r="E28" s="108"/>
      <c r="F28" s="108"/>
      <c r="G28" s="190"/>
      <c r="H28" s="191"/>
      <c r="I28" s="108"/>
      <c r="J28" s="112"/>
      <c r="K28" s="131"/>
      <c r="L28" s="131"/>
      <c r="M28" s="126"/>
      <c r="N28" s="126"/>
      <c r="O28" s="126"/>
      <c r="P28" s="126"/>
      <c r="Q28" s="126"/>
      <c r="R28" s="126"/>
      <c r="S28" s="126"/>
      <c r="T28" s="126"/>
      <c r="U28" s="126"/>
      <c r="V28" s="126"/>
      <c r="W28" s="126"/>
      <c r="X28" s="126"/>
    </row>
    <row r="29" ht="66.0" customHeight="1">
      <c r="A29" s="177"/>
      <c r="B29" s="122" t="s">
        <v>86</v>
      </c>
      <c r="C29" s="123"/>
      <c r="D29" s="108"/>
      <c r="E29" s="108"/>
      <c r="F29" s="108"/>
      <c r="G29" s="190"/>
      <c r="H29" s="191"/>
      <c r="I29" s="108"/>
      <c r="J29" s="112"/>
      <c r="K29" s="131"/>
      <c r="L29" s="131"/>
      <c r="M29" s="126"/>
      <c r="N29" s="126"/>
      <c r="O29" s="126"/>
      <c r="P29" s="126"/>
      <c r="Q29" s="126"/>
      <c r="R29" s="126"/>
      <c r="S29" s="126"/>
      <c r="T29" s="126"/>
      <c r="U29" s="126"/>
      <c r="V29" s="126"/>
      <c r="W29" s="126"/>
      <c r="X29" s="126"/>
    </row>
    <row r="30" ht="66.0" customHeight="1">
      <c r="A30" s="177"/>
      <c r="B30" s="122" t="s">
        <v>98</v>
      </c>
      <c r="C30" s="123"/>
      <c r="D30" s="108"/>
      <c r="E30" s="108"/>
      <c r="F30" s="108"/>
      <c r="G30" s="190"/>
      <c r="H30" s="191"/>
      <c r="I30" s="108"/>
      <c r="J30" s="112"/>
      <c r="K30" s="131"/>
      <c r="L30" s="131"/>
      <c r="M30" s="126"/>
      <c r="N30" s="126"/>
      <c r="O30" s="126"/>
      <c r="P30" s="126"/>
      <c r="Q30" s="126"/>
      <c r="R30" s="126"/>
      <c r="S30" s="126"/>
      <c r="T30" s="126"/>
      <c r="U30" s="126"/>
      <c r="V30" s="126"/>
      <c r="W30" s="126"/>
      <c r="X30" s="126"/>
    </row>
    <row r="31" ht="66.0" customHeight="1">
      <c r="A31" s="156"/>
      <c r="B31" s="214" t="s">
        <v>106</v>
      </c>
      <c r="C31" s="215"/>
      <c r="D31" s="216"/>
      <c r="E31" s="216"/>
      <c r="F31" s="216"/>
      <c r="G31" s="217"/>
      <c r="H31" s="218"/>
      <c r="I31" s="216"/>
      <c r="J31" s="219"/>
      <c r="K31" s="163"/>
      <c r="L31" s="163"/>
      <c r="M31" s="126"/>
      <c r="N31" s="126"/>
      <c r="O31" s="126"/>
      <c r="P31" s="126"/>
      <c r="Q31" s="126"/>
      <c r="R31" s="126"/>
      <c r="S31" s="126"/>
      <c r="T31" s="126"/>
      <c r="U31" s="126"/>
      <c r="V31" s="126"/>
      <c r="W31" s="126"/>
      <c r="X31" s="126"/>
    </row>
  </sheetData>
  <mergeCells count="31">
    <mergeCell ref="A1:I1"/>
    <mergeCell ref="A2:J2"/>
    <mergeCell ref="A3:X3"/>
    <mergeCell ref="A4:A5"/>
    <mergeCell ref="B4:B5"/>
    <mergeCell ref="C4:F4"/>
    <mergeCell ref="G4:J4"/>
    <mergeCell ref="B9:B10"/>
    <mergeCell ref="A12:B12"/>
    <mergeCell ref="A17:B17"/>
    <mergeCell ref="A22:B22"/>
    <mergeCell ref="A27:B27"/>
    <mergeCell ref="A6:B6"/>
    <mergeCell ref="C6:F6"/>
    <mergeCell ref="G6:J6"/>
    <mergeCell ref="C7:D7"/>
    <mergeCell ref="D8:E8"/>
    <mergeCell ref="A9:A10"/>
    <mergeCell ref="D9:F9"/>
    <mergeCell ref="K17:K21"/>
    <mergeCell ref="K22:K26"/>
    <mergeCell ref="K27:K31"/>
    <mergeCell ref="L22:L26"/>
    <mergeCell ref="L27:L31"/>
    <mergeCell ref="K4:K6"/>
    <mergeCell ref="L4:L6"/>
    <mergeCell ref="K7:K11"/>
    <mergeCell ref="L7:L11"/>
    <mergeCell ref="K12:K16"/>
    <mergeCell ref="L12:L16"/>
    <mergeCell ref="L17:L21"/>
  </mergeCells>
  <dataValidations>
    <dataValidation type="list" allowBlank="1" showErrorMessage="1" sqref="A7:A9 A11 A13:A16 A18:A21 A23:A26 A28:A31">
      <formula1>"Done,In Progress,Delayed"</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41.5"/>
    <col customWidth="1" min="3" max="3" width="25.0"/>
    <col customWidth="1" min="4" max="4" width="88.63"/>
    <col customWidth="1" min="5" max="5" width="23.0"/>
    <col customWidth="1" min="6" max="6" width="38.0"/>
    <col hidden="1" min="7" max="20" width="12.63"/>
  </cols>
  <sheetData>
    <row r="1" ht="94.5" customHeight="1">
      <c r="A1" s="1"/>
      <c r="G1" s="1"/>
      <c r="H1" s="1"/>
      <c r="I1" s="1"/>
      <c r="J1" s="1"/>
      <c r="K1" s="1"/>
      <c r="L1" s="1"/>
      <c r="M1" s="1"/>
      <c r="N1" s="1"/>
      <c r="O1" s="1"/>
      <c r="P1" s="1"/>
      <c r="Q1" s="1"/>
      <c r="R1" s="1"/>
      <c r="S1" s="1"/>
      <c r="T1" s="1"/>
    </row>
    <row r="2" ht="36.75" customHeight="1">
      <c r="A2" s="8" t="s">
        <v>2</v>
      </c>
      <c r="B2" s="3"/>
      <c r="C2" s="3"/>
      <c r="D2" s="3"/>
      <c r="E2" s="3"/>
      <c r="F2" s="3"/>
      <c r="G2" s="12"/>
      <c r="H2" s="12"/>
      <c r="I2" s="12"/>
      <c r="J2" s="12"/>
      <c r="K2" s="12"/>
      <c r="L2" s="12"/>
      <c r="M2" s="12"/>
      <c r="N2" s="12"/>
      <c r="O2" s="12"/>
      <c r="P2" s="12"/>
      <c r="Q2" s="12"/>
      <c r="R2" s="12"/>
      <c r="S2" s="12"/>
      <c r="T2" s="12"/>
    </row>
    <row r="3" ht="24.0" customHeight="1">
      <c r="A3" s="13"/>
      <c r="G3" s="13"/>
      <c r="N3" s="13"/>
    </row>
    <row r="4" ht="46.5" customHeight="1">
      <c r="A4" s="17" t="s">
        <v>5</v>
      </c>
      <c r="G4" s="15"/>
      <c r="H4" s="15"/>
      <c r="I4" s="15"/>
      <c r="J4" s="15"/>
      <c r="K4" s="15"/>
      <c r="L4" s="15"/>
      <c r="M4" s="15"/>
      <c r="N4" s="15"/>
      <c r="O4" s="15"/>
      <c r="P4" s="15"/>
      <c r="Q4" s="15"/>
      <c r="R4" s="15"/>
      <c r="S4" s="15"/>
      <c r="T4" s="15"/>
    </row>
    <row r="5" ht="39.0" customHeight="1">
      <c r="A5" s="20" t="s">
        <v>11</v>
      </c>
      <c r="B5" s="21" t="s">
        <v>12</v>
      </c>
      <c r="C5" s="21" t="s">
        <v>14</v>
      </c>
      <c r="D5" s="23" t="s">
        <v>15</v>
      </c>
      <c r="E5" s="23" t="s">
        <v>16</v>
      </c>
      <c r="F5" s="26" t="s">
        <v>17</v>
      </c>
      <c r="G5" s="27"/>
      <c r="H5" s="11"/>
      <c r="I5" s="11"/>
      <c r="J5" s="11"/>
      <c r="K5" s="11"/>
      <c r="L5" s="11"/>
      <c r="M5" s="11"/>
      <c r="N5" s="11"/>
      <c r="O5" s="11"/>
      <c r="P5" s="11"/>
      <c r="Q5" s="11"/>
      <c r="R5" s="11"/>
      <c r="S5" s="11"/>
      <c r="T5" s="14"/>
    </row>
    <row r="6" ht="193.5" customHeight="1">
      <c r="A6" s="40">
        <f t="shared" ref="A6:A10" si="1">row()-row($A$5)</f>
        <v>1</v>
      </c>
      <c r="B6" s="40" t="s">
        <v>25</v>
      </c>
      <c r="C6" s="45" t="s">
        <v>30</v>
      </c>
      <c r="D6" s="49" t="s">
        <v>33</v>
      </c>
      <c r="E6" s="52" t="s">
        <v>34</v>
      </c>
      <c r="F6" s="54" t="s">
        <v>35</v>
      </c>
      <c r="G6" s="56"/>
      <c r="H6" s="24"/>
      <c r="I6" s="24"/>
      <c r="J6" s="24"/>
      <c r="K6" s="28"/>
      <c r="L6" s="28"/>
      <c r="M6" s="28"/>
      <c r="N6" s="28"/>
      <c r="O6" s="28"/>
      <c r="P6" s="28"/>
      <c r="Q6" s="28"/>
      <c r="R6" s="28"/>
      <c r="S6" s="28"/>
      <c r="T6" s="30"/>
    </row>
    <row r="7" ht="163.5" customHeight="1">
      <c r="A7" s="40">
        <f t="shared" si="1"/>
        <v>2</v>
      </c>
      <c r="B7" s="40" t="s">
        <v>38</v>
      </c>
      <c r="C7" s="45" t="s">
        <v>40</v>
      </c>
      <c r="D7" s="49" t="s">
        <v>42</v>
      </c>
      <c r="E7" s="65" t="s">
        <v>44</v>
      </c>
      <c r="F7" s="66" t="s">
        <v>46</v>
      </c>
      <c r="G7" s="67"/>
      <c r="H7" s="42"/>
      <c r="I7" s="28"/>
      <c r="J7" s="28"/>
      <c r="K7" s="28"/>
      <c r="L7" s="28"/>
      <c r="M7" s="28"/>
      <c r="N7" s="28"/>
      <c r="O7" s="28"/>
      <c r="P7" s="28"/>
      <c r="Q7" s="28"/>
      <c r="R7" s="28"/>
      <c r="S7" s="28"/>
      <c r="T7" s="30"/>
    </row>
    <row r="8" ht="235.5" customHeight="1">
      <c r="A8" s="40">
        <f t="shared" si="1"/>
        <v>3</v>
      </c>
      <c r="B8" s="40" t="s">
        <v>49</v>
      </c>
      <c r="C8" s="45" t="s">
        <v>40</v>
      </c>
      <c r="D8" s="49" t="s">
        <v>50</v>
      </c>
      <c r="E8" s="52" t="s">
        <v>51</v>
      </c>
      <c r="F8" s="54" t="s">
        <v>52</v>
      </c>
      <c r="G8" s="67"/>
      <c r="H8" s="42"/>
      <c r="I8" s="51"/>
      <c r="J8" s="51"/>
      <c r="K8" s="51"/>
      <c r="L8" s="51"/>
      <c r="M8" s="51"/>
      <c r="N8" s="51"/>
      <c r="O8" s="51"/>
      <c r="P8" s="51"/>
      <c r="Q8" s="51"/>
      <c r="R8" s="51"/>
      <c r="S8" s="51"/>
      <c r="T8" s="55"/>
    </row>
    <row r="9" ht="111.0" customHeight="1">
      <c r="A9" s="40">
        <f t="shared" si="1"/>
        <v>4</v>
      </c>
      <c r="B9" s="40" t="s">
        <v>54</v>
      </c>
      <c r="C9" s="45" t="s">
        <v>40</v>
      </c>
      <c r="D9" s="49" t="s">
        <v>55</v>
      </c>
      <c r="E9" s="52" t="s">
        <v>56</v>
      </c>
      <c r="F9" s="54" t="s">
        <v>57</v>
      </c>
      <c r="G9" s="67"/>
      <c r="H9" s="42"/>
      <c r="I9" s="28"/>
      <c r="J9" s="28"/>
      <c r="K9" s="28"/>
      <c r="L9" s="28"/>
      <c r="M9" s="28"/>
      <c r="N9" s="28"/>
      <c r="O9" s="28"/>
      <c r="P9" s="28"/>
      <c r="Q9" s="28"/>
      <c r="R9" s="28"/>
      <c r="S9" s="28"/>
      <c r="T9" s="30"/>
    </row>
    <row r="10" ht="147.0" customHeight="1">
      <c r="A10" s="40">
        <f t="shared" si="1"/>
        <v>5</v>
      </c>
      <c r="B10" s="40" t="s">
        <v>59</v>
      </c>
      <c r="C10" s="45" t="s">
        <v>40</v>
      </c>
      <c r="D10" s="49" t="s">
        <v>60</v>
      </c>
      <c r="E10" s="52" t="s">
        <v>61</v>
      </c>
      <c r="F10" s="54" t="s">
        <v>62</v>
      </c>
      <c r="G10" s="67"/>
      <c r="H10" s="42"/>
      <c r="I10" s="28"/>
      <c r="J10" s="28"/>
      <c r="K10" s="28"/>
      <c r="L10" s="28"/>
      <c r="M10" s="28"/>
      <c r="N10" s="28"/>
      <c r="O10" s="28"/>
      <c r="P10" s="28"/>
      <c r="Q10" s="28"/>
      <c r="R10" s="28"/>
      <c r="S10" s="28"/>
      <c r="T10" s="30"/>
    </row>
    <row r="11" ht="37.5" customHeight="1">
      <c r="A11" s="13"/>
      <c r="G11" s="42"/>
      <c r="H11" s="42"/>
      <c r="I11" s="28"/>
      <c r="J11" s="28"/>
      <c r="K11" s="28"/>
      <c r="L11" s="28"/>
      <c r="M11" s="28"/>
      <c r="N11" s="28"/>
      <c r="O11" s="28"/>
      <c r="P11" s="28"/>
      <c r="Q11" s="28"/>
      <c r="R11" s="28"/>
      <c r="S11" s="28"/>
      <c r="T11" s="30"/>
    </row>
    <row r="12" ht="50.25" customHeight="1">
      <c r="A12" s="17" t="s">
        <v>64</v>
      </c>
      <c r="G12" s="15"/>
      <c r="H12" s="15"/>
      <c r="I12" s="15"/>
      <c r="J12" s="15"/>
      <c r="K12" s="15"/>
      <c r="L12" s="15"/>
      <c r="M12" s="15"/>
      <c r="N12" s="15"/>
      <c r="O12" s="15"/>
      <c r="P12" s="15"/>
      <c r="Q12" s="15"/>
      <c r="R12" s="15"/>
      <c r="S12" s="15"/>
      <c r="T12" s="15"/>
    </row>
    <row r="13" ht="55.5" customHeight="1">
      <c r="A13" s="87" t="s">
        <v>67</v>
      </c>
      <c r="B13" s="88"/>
      <c r="C13" s="91"/>
      <c r="D13" s="9"/>
      <c r="E13" s="9"/>
      <c r="F13" s="19"/>
      <c r="G13" s="67"/>
      <c r="H13" s="42"/>
      <c r="I13" s="28"/>
      <c r="J13" s="28"/>
      <c r="K13" s="28"/>
      <c r="L13" s="28"/>
      <c r="M13" s="28"/>
      <c r="N13" s="28"/>
      <c r="O13" s="28"/>
      <c r="P13" s="28"/>
      <c r="Q13" s="28"/>
      <c r="R13" s="28"/>
      <c r="S13" s="28"/>
      <c r="T13" s="30"/>
    </row>
    <row r="14" ht="39.75" customHeight="1">
      <c r="A14" s="96" t="s">
        <v>71</v>
      </c>
      <c r="B14" s="98"/>
      <c r="C14" s="91"/>
      <c r="D14" s="9"/>
      <c r="E14" s="9"/>
      <c r="F14" s="19"/>
      <c r="G14" s="99"/>
      <c r="H14" s="51"/>
      <c r="I14" s="51"/>
      <c r="J14" s="51"/>
      <c r="K14" s="51"/>
      <c r="L14" s="51"/>
      <c r="M14" s="51"/>
      <c r="N14" s="51"/>
      <c r="O14" s="51"/>
      <c r="P14" s="51"/>
      <c r="Q14" s="51"/>
      <c r="R14" s="51"/>
      <c r="S14" s="51"/>
      <c r="T14" s="55"/>
    </row>
    <row r="15" ht="54.75" customHeight="1">
      <c r="A15" s="100" t="s">
        <v>72</v>
      </c>
      <c r="B15" s="102"/>
      <c r="C15" s="91"/>
      <c r="D15" s="9"/>
      <c r="E15" s="9"/>
      <c r="F15" s="19"/>
      <c r="G15" s="104"/>
      <c r="H15" s="28"/>
      <c r="I15" s="28"/>
      <c r="J15" s="28"/>
      <c r="K15" s="28"/>
      <c r="L15" s="28"/>
      <c r="M15" s="28"/>
      <c r="N15" s="28"/>
      <c r="O15" s="28"/>
      <c r="P15" s="28"/>
      <c r="Q15" s="28"/>
      <c r="R15" s="28"/>
      <c r="S15" s="28"/>
      <c r="T15" s="30"/>
    </row>
    <row r="16" ht="37.5" customHeight="1">
      <c r="A16" s="13"/>
      <c r="G16" s="42"/>
      <c r="H16" s="42"/>
      <c r="I16" s="28"/>
      <c r="J16" s="28"/>
      <c r="K16" s="28"/>
      <c r="L16" s="28"/>
      <c r="M16" s="28"/>
      <c r="N16" s="28"/>
      <c r="O16" s="28"/>
      <c r="P16" s="28"/>
      <c r="Q16" s="28"/>
      <c r="R16" s="28"/>
      <c r="S16" s="28"/>
      <c r="T16" s="30"/>
    </row>
    <row r="17" ht="50.25" customHeight="1">
      <c r="A17" s="17" t="s">
        <v>76</v>
      </c>
      <c r="G17" s="15"/>
      <c r="H17" s="15"/>
      <c r="I17" s="15"/>
      <c r="J17" s="15"/>
      <c r="K17" s="15"/>
      <c r="L17" s="15"/>
      <c r="M17" s="15"/>
      <c r="N17" s="15"/>
      <c r="O17" s="15"/>
      <c r="P17" s="15"/>
      <c r="Q17" s="15"/>
      <c r="R17" s="15"/>
      <c r="S17" s="15"/>
      <c r="T17" s="15"/>
    </row>
    <row r="18" ht="37.5" customHeight="1">
      <c r="A18" s="111" t="s">
        <v>77</v>
      </c>
      <c r="B18" s="10"/>
      <c r="C18" s="111" t="s">
        <v>78</v>
      </c>
      <c r="D18" s="10"/>
      <c r="E18" s="111" t="s">
        <v>79</v>
      </c>
      <c r="F18" s="10"/>
      <c r="G18" s="28"/>
      <c r="H18" s="28"/>
      <c r="I18" s="28"/>
      <c r="J18" s="28"/>
      <c r="K18" s="28"/>
      <c r="L18" s="28"/>
      <c r="M18" s="28"/>
      <c r="N18" s="28"/>
      <c r="O18" s="28"/>
      <c r="P18" s="28"/>
      <c r="Q18" s="28"/>
      <c r="R18" s="28"/>
      <c r="S18" s="28"/>
      <c r="T18" s="30"/>
    </row>
    <row r="19" ht="66.0" customHeight="1">
      <c r="A19" s="115" t="s">
        <v>82</v>
      </c>
      <c r="B19" s="19"/>
      <c r="C19" s="117"/>
      <c r="D19" s="19"/>
      <c r="E19" s="117"/>
      <c r="F19" s="19"/>
      <c r="G19" s="99"/>
      <c r="H19" s="51"/>
      <c r="I19" s="51"/>
      <c r="J19" s="51"/>
      <c r="K19" s="51"/>
      <c r="L19" s="51"/>
      <c r="M19" s="51"/>
      <c r="N19" s="51"/>
      <c r="O19" s="51"/>
      <c r="P19" s="51"/>
      <c r="Q19" s="51"/>
      <c r="R19" s="51"/>
      <c r="S19" s="51"/>
      <c r="T19" s="55"/>
    </row>
    <row r="20" ht="66.0" customHeight="1">
      <c r="A20" s="115" t="s">
        <v>85</v>
      </c>
      <c r="B20" s="19"/>
      <c r="C20" s="117"/>
      <c r="D20" s="19"/>
      <c r="E20" s="125"/>
      <c r="F20" s="19"/>
      <c r="G20" s="126"/>
      <c r="H20" s="126"/>
      <c r="I20" s="126"/>
      <c r="J20" s="126"/>
      <c r="K20" s="126"/>
      <c r="L20" s="126"/>
      <c r="M20" s="126"/>
      <c r="N20" s="126"/>
      <c r="O20" s="126"/>
      <c r="P20" s="126"/>
      <c r="Q20" s="126"/>
      <c r="R20" s="126"/>
      <c r="S20" s="126"/>
      <c r="T20" s="126"/>
    </row>
    <row r="21" ht="66.0" customHeight="1">
      <c r="A21" s="115" t="s">
        <v>93</v>
      </c>
      <c r="B21" s="19"/>
      <c r="C21" s="117"/>
      <c r="D21" s="19"/>
      <c r="E21" s="125"/>
      <c r="F21" s="19"/>
      <c r="G21" s="126"/>
      <c r="H21" s="126"/>
      <c r="I21" s="126"/>
      <c r="J21" s="126"/>
      <c r="K21" s="126"/>
      <c r="L21" s="126"/>
      <c r="M21" s="126"/>
      <c r="N21" s="126"/>
      <c r="O21" s="126"/>
      <c r="P21" s="126"/>
      <c r="Q21" s="126"/>
      <c r="R21" s="126"/>
      <c r="S21" s="126"/>
      <c r="T21" s="126"/>
    </row>
    <row r="22" ht="66.0" customHeight="1">
      <c r="A22" s="115" t="s">
        <v>97</v>
      </c>
      <c r="B22" s="19"/>
      <c r="C22" s="117"/>
      <c r="D22" s="19"/>
      <c r="E22" s="125"/>
      <c r="F22" s="19"/>
      <c r="G22" s="126"/>
      <c r="H22" s="126"/>
      <c r="I22" s="126"/>
      <c r="J22" s="126"/>
      <c r="K22" s="126"/>
      <c r="L22" s="126"/>
      <c r="M22" s="126"/>
      <c r="N22" s="126"/>
      <c r="O22" s="126"/>
      <c r="P22" s="126"/>
      <c r="Q22" s="126"/>
      <c r="R22" s="126"/>
      <c r="S22" s="126"/>
      <c r="T22" s="126"/>
    </row>
    <row r="23" ht="66.0" customHeight="1">
      <c r="A23" s="115" t="s">
        <v>99</v>
      </c>
      <c r="B23" s="19"/>
      <c r="C23" s="117"/>
      <c r="D23" s="19"/>
      <c r="E23" s="125"/>
      <c r="F23" s="19"/>
      <c r="G23" s="126"/>
      <c r="H23" s="126"/>
      <c r="I23" s="126"/>
      <c r="J23" s="126"/>
      <c r="K23" s="126"/>
      <c r="L23" s="126"/>
      <c r="M23" s="126"/>
      <c r="N23" s="126"/>
      <c r="O23" s="126"/>
      <c r="P23" s="126"/>
      <c r="Q23" s="126"/>
      <c r="R23" s="126"/>
      <c r="S23" s="126"/>
      <c r="T23" s="126"/>
    </row>
  </sheetData>
  <mergeCells count="34">
    <mergeCell ref="A1:F1"/>
    <mergeCell ref="A2:F2"/>
    <mergeCell ref="A3:F3"/>
    <mergeCell ref="G3:M3"/>
    <mergeCell ref="N3:T3"/>
    <mergeCell ref="A4:F4"/>
    <mergeCell ref="A11:F11"/>
    <mergeCell ref="A12:F12"/>
    <mergeCell ref="A13:B13"/>
    <mergeCell ref="C13:F13"/>
    <mergeCell ref="A14:B14"/>
    <mergeCell ref="C14:F14"/>
    <mergeCell ref="A15:B15"/>
    <mergeCell ref="C15:F15"/>
    <mergeCell ref="A16:F16"/>
    <mergeCell ref="A17:F17"/>
    <mergeCell ref="A18:B18"/>
    <mergeCell ref="C18:D18"/>
    <mergeCell ref="E18:F18"/>
    <mergeCell ref="C19:D19"/>
    <mergeCell ref="E19:F19"/>
    <mergeCell ref="A22:B22"/>
    <mergeCell ref="C22:D22"/>
    <mergeCell ref="E22:F22"/>
    <mergeCell ref="A23:B23"/>
    <mergeCell ref="C23:D23"/>
    <mergeCell ref="E23:F23"/>
    <mergeCell ref="A19:B19"/>
    <mergeCell ref="A20:B20"/>
    <mergeCell ref="C20:D20"/>
    <mergeCell ref="E20:F20"/>
    <mergeCell ref="A21:B21"/>
    <mergeCell ref="C21:D21"/>
    <mergeCell ref="E21:F21"/>
  </mergeCells>
  <dataValidations>
    <dataValidation type="list" allowBlank="1" showErrorMessage="1" sqref="C6:C10">
      <formula1>"Trưởng dự án,Thành viên"</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63"/>
    <col customWidth="1" min="2" max="2" width="12.75"/>
    <col customWidth="1" min="3" max="3" width="8.75"/>
    <col customWidth="1" min="4" max="4" width="30.88"/>
    <col customWidth="1" min="5" max="5" width="28.5"/>
    <col customWidth="1" min="6" max="6" width="29.13"/>
    <col customWidth="1" min="7" max="7" width="14.63"/>
    <col customWidth="1" min="8" max="8" width="12.88"/>
    <col customWidth="1" min="9" max="9" width="30.63"/>
    <col customWidth="1" min="10" max="10" width="21.38"/>
    <col customWidth="1" min="11" max="11" width="20.25"/>
    <col customWidth="1" min="12" max="12" width="22.25"/>
    <col customWidth="1" min="13" max="13" width="20.75"/>
    <col customWidth="1" min="14" max="16" width="22.25"/>
    <col customWidth="1" min="17" max="17" width="36.0"/>
    <col customWidth="1" min="18" max="18" width="17.5"/>
    <col hidden="1" min="19" max="32" width="12.63"/>
  </cols>
  <sheetData>
    <row r="1" ht="94.5" customHeight="1">
      <c r="A1" s="1"/>
    </row>
    <row r="2" ht="36.75" customHeight="1">
      <c r="A2" s="8" t="s">
        <v>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ht="24.0" customHeight="1">
      <c r="A3" s="4"/>
    </row>
    <row r="4" ht="27.75" customHeight="1">
      <c r="A4" s="32"/>
      <c r="X4" s="32"/>
      <c r="Y4" s="15"/>
      <c r="Z4" s="15"/>
      <c r="AA4" s="15"/>
      <c r="AB4" s="15"/>
      <c r="AC4" s="15"/>
      <c r="AD4" s="15"/>
      <c r="AE4" s="15"/>
      <c r="AF4" s="15"/>
    </row>
    <row r="5" ht="37.5" customHeight="1">
      <c r="A5" s="37"/>
      <c r="B5" s="41" t="s">
        <v>23</v>
      </c>
      <c r="G5" s="43"/>
      <c r="H5" s="41" t="s">
        <v>27</v>
      </c>
      <c r="S5" s="47"/>
      <c r="T5" s="47"/>
      <c r="U5" s="47"/>
      <c r="V5" s="47"/>
      <c r="W5" s="47"/>
      <c r="X5" s="47"/>
      <c r="Y5" s="28"/>
      <c r="Z5" s="28"/>
      <c r="AA5" s="28"/>
      <c r="AB5" s="28"/>
      <c r="AC5" s="28"/>
      <c r="AD5" s="28"/>
      <c r="AE5" s="28"/>
      <c r="AF5" s="30"/>
    </row>
    <row r="6" ht="37.5" customHeight="1">
      <c r="B6" s="57"/>
      <c r="F6" s="59"/>
      <c r="G6" s="61"/>
      <c r="H6" s="63"/>
      <c r="I6" s="63"/>
      <c r="J6" s="63"/>
      <c r="K6" s="63"/>
      <c r="L6" s="63"/>
      <c r="M6" s="63"/>
      <c r="N6" s="63"/>
      <c r="O6" s="63"/>
      <c r="P6" s="63"/>
      <c r="Q6" s="63"/>
      <c r="R6" s="68"/>
      <c r="S6" s="63"/>
      <c r="T6" s="63"/>
      <c r="U6" s="63"/>
      <c r="V6" s="63"/>
      <c r="W6" s="63"/>
      <c r="X6" s="68"/>
      <c r="Y6" s="28"/>
      <c r="Z6" s="28"/>
      <c r="AA6" s="28"/>
      <c r="AB6" s="28"/>
      <c r="AC6" s="28"/>
      <c r="AD6" s="28"/>
      <c r="AE6" s="28"/>
      <c r="AF6" s="30"/>
    </row>
    <row r="7" ht="37.5" customHeight="1">
      <c r="B7" s="71" t="s">
        <v>53</v>
      </c>
      <c r="C7" s="72"/>
      <c r="D7" s="76" t="s">
        <v>58</v>
      </c>
      <c r="E7" s="77"/>
      <c r="F7" s="78">
        <v>0.15</v>
      </c>
      <c r="G7" s="79"/>
      <c r="H7" s="82" t="s">
        <v>65</v>
      </c>
      <c r="I7" s="86" t="s">
        <v>68</v>
      </c>
      <c r="J7" s="92" t="s">
        <v>69</v>
      </c>
      <c r="K7" s="94"/>
      <c r="L7" s="94"/>
      <c r="M7" s="95"/>
      <c r="N7" s="92" t="s">
        <v>70</v>
      </c>
      <c r="O7" s="94"/>
      <c r="P7" s="94"/>
      <c r="Q7" s="94"/>
      <c r="R7" s="97"/>
      <c r="S7" s="106"/>
      <c r="T7" s="110" t="s">
        <v>70</v>
      </c>
      <c r="U7" s="3"/>
      <c r="V7" s="3"/>
      <c r="W7" s="3"/>
      <c r="X7" s="98"/>
      <c r="Y7" s="99"/>
      <c r="Z7" s="51"/>
      <c r="AA7" s="51"/>
      <c r="AB7" s="51"/>
      <c r="AC7" s="51"/>
      <c r="AD7" s="51"/>
      <c r="AE7" s="51"/>
      <c r="AF7" s="55"/>
    </row>
    <row r="8" ht="37.5" customHeight="1">
      <c r="B8" s="114"/>
      <c r="C8" s="74"/>
      <c r="D8" s="118" t="s">
        <v>83</v>
      </c>
      <c r="E8" s="119"/>
      <c r="F8" s="120">
        <v>0.15</v>
      </c>
      <c r="G8" s="79"/>
      <c r="H8" s="58"/>
      <c r="I8" s="60"/>
      <c r="J8" s="124" t="s">
        <v>87</v>
      </c>
      <c r="K8" s="124" t="s">
        <v>88</v>
      </c>
      <c r="L8" s="127" t="s">
        <v>89</v>
      </c>
      <c r="M8" s="127" t="s">
        <v>91</v>
      </c>
      <c r="N8" s="127" t="s">
        <v>92</v>
      </c>
      <c r="O8" s="124" t="s">
        <v>94</v>
      </c>
      <c r="P8" s="129" t="s">
        <v>95</v>
      </c>
      <c r="Q8" s="132" t="s">
        <v>96</v>
      </c>
      <c r="R8" s="133"/>
      <c r="S8" s="134" t="s">
        <v>91</v>
      </c>
      <c r="T8" s="136" t="s">
        <v>92</v>
      </c>
      <c r="U8" s="138" t="s">
        <v>94</v>
      </c>
      <c r="V8" s="140" t="s">
        <v>101</v>
      </c>
      <c r="W8" s="141" t="s">
        <v>102</v>
      </c>
      <c r="X8" s="142"/>
      <c r="Y8" s="104"/>
      <c r="Z8" s="28"/>
      <c r="AA8" s="28"/>
      <c r="AB8" s="28"/>
      <c r="AC8" s="28"/>
      <c r="AD8" s="28"/>
      <c r="AE8" s="28"/>
      <c r="AF8" s="30"/>
    </row>
    <row r="9" ht="33.75" customHeight="1">
      <c r="B9" s="147"/>
      <c r="C9" s="60"/>
      <c r="D9" s="118" t="s">
        <v>104</v>
      </c>
      <c r="E9" s="119"/>
      <c r="F9" s="120">
        <v>0.7</v>
      </c>
      <c r="G9" s="79"/>
      <c r="H9" s="151" t="s">
        <v>105</v>
      </c>
      <c r="I9" s="153"/>
      <c r="J9" s="153"/>
      <c r="K9" s="153"/>
      <c r="L9" s="153"/>
      <c r="M9" s="153"/>
      <c r="N9" s="153"/>
      <c r="O9" s="153"/>
      <c r="P9" s="153"/>
      <c r="Q9" s="153"/>
      <c r="R9" s="154"/>
      <c r="S9" s="155"/>
      <c r="T9" s="155"/>
      <c r="U9" s="155"/>
      <c r="V9" s="155"/>
      <c r="W9" s="155"/>
      <c r="X9" s="158"/>
      <c r="Y9" s="104"/>
      <c r="Z9" s="28"/>
      <c r="AA9" s="28"/>
      <c r="AB9" s="28"/>
      <c r="AC9" s="28"/>
      <c r="AD9" s="28"/>
      <c r="AE9" s="28"/>
      <c r="AF9" s="30"/>
    </row>
    <row r="10" ht="37.5" customHeight="1">
      <c r="B10" s="162" t="s">
        <v>108</v>
      </c>
      <c r="C10" s="74"/>
      <c r="D10" s="164" t="s">
        <v>69</v>
      </c>
      <c r="E10" s="60"/>
      <c r="F10" s="165" t="s">
        <v>110</v>
      </c>
      <c r="G10" s="168"/>
      <c r="H10" s="170" t="s">
        <v>111</v>
      </c>
      <c r="I10" s="172" t="s">
        <v>112</v>
      </c>
      <c r="J10" s="174"/>
      <c r="K10" s="175"/>
      <c r="L10" s="175"/>
      <c r="M10" s="175"/>
      <c r="N10" s="178" t="s">
        <v>115</v>
      </c>
      <c r="O10" s="139"/>
      <c r="P10" s="139"/>
      <c r="Q10" s="139"/>
      <c r="R10" s="119"/>
      <c r="S10" s="179"/>
      <c r="T10" s="180"/>
      <c r="U10" s="181"/>
      <c r="V10" s="181"/>
      <c r="W10" s="184" t="s">
        <v>118</v>
      </c>
      <c r="X10" s="185"/>
      <c r="Y10" s="28"/>
      <c r="Z10" s="28"/>
      <c r="AA10" s="28"/>
      <c r="AB10" s="28"/>
      <c r="AC10" s="28"/>
      <c r="AD10" s="28"/>
      <c r="AE10" s="28"/>
      <c r="AF10" s="30"/>
    </row>
    <row r="11" ht="37.5" customHeight="1">
      <c r="B11" s="147"/>
      <c r="C11" s="60"/>
      <c r="D11" s="186" t="s">
        <v>121</v>
      </c>
      <c r="E11" s="187" t="s">
        <v>122</v>
      </c>
      <c r="F11" s="188" t="s">
        <v>123</v>
      </c>
      <c r="G11" s="168"/>
      <c r="H11" s="189"/>
      <c r="I11" s="172" t="s">
        <v>124</v>
      </c>
      <c r="J11" s="174"/>
      <c r="K11" s="175"/>
      <c r="L11" s="175"/>
      <c r="M11" s="175"/>
      <c r="N11" s="178" t="s">
        <v>115</v>
      </c>
      <c r="O11" s="139"/>
      <c r="P11" s="139"/>
      <c r="Q11" s="139"/>
      <c r="R11" s="119"/>
      <c r="S11" s="179"/>
      <c r="T11" s="192"/>
      <c r="U11" s="193"/>
      <c r="V11" s="193"/>
      <c r="W11" s="194"/>
      <c r="X11" s="185"/>
      <c r="Y11" s="104"/>
      <c r="Z11" s="28"/>
      <c r="AA11" s="28"/>
      <c r="AB11" s="28"/>
      <c r="AC11" s="28"/>
      <c r="AD11" s="28"/>
      <c r="AE11" s="28"/>
      <c r="AF11" s="30"/>
    </row>
    <row r="12" ht="45.0" customHeight="1">
      <c r="B12" s="187" t="s">
        <v>125</v>
      </c>
      <c r="C12" s="187" t="s">
        <v>126</v>
      </c>
      <c r="D12" s="197" t="s">
        <v>128</v>
      </c>
      <c r="E12" s="197" t="s">
        <v>129</v>
      </c>
      <c r="F12" s="197" t="s">
        <v>130</v>
      </c>
      <c r="G12" s="198"/>
      <c r="H12" s="58"/>
      <c r="I12" s="172" t="s">
        <v>133</v>
      </c>
      <c r="J12" s="199"/>
      <c r="K12" s="200"/>
      <c r="L12" s="200"/>
      <c r="M12" s="200"/>
      <c r="O12" s="200"/>
      <c r="P12" s="200"/>
      <c r="Q12" s="201" t="s">
        <v>134</v>
      </c>
      <c r="R12" s="202"/>
      <c r="S12" s="179"/>
      <c r="T12" s="203" t="s">
        <v>115</v>
      </c>
      <c r="U12" s="204"/>
      <c r="V12" s="204"/>
      <c r="W12" s="204"/>
      <c r="X12" s="205"/>
      <c r="Y12" s="104"/>
      <c r="Z12" s="28"/>
      <c r="AA12" s="28"/>
      <c r="AB12" s="28"/>
      <c r="AC12" s="28"/>
      <c r="AD12" s="28"/>
      <c r="AE12" s="28"/>
      <c r="AF12" s="30"/>
    </row>
    <row r="13" ht="39.0" customHeight="1">
      <c r="B13" s="206">
        <v>1.0</v>
      </c>
      <c r="C13" s="207"/>
      <c r="D13" s="208" t="s">
        <v>138</v>
      </c>
      <c r="E13" s="209" t="s">
        <v>139</v>
      </c>
      <c r="F13" s="209" t="s">
        <v>134</v>
      </c>
      <c r="G13" s="198"/>
      <c r="H13" s="210" t="s">
        <v>140</v>
      </c>
      <c r="R13" s="130"/>
      <c r="S13" s="211"/>
      <c r="T13" s="212"/>
      <c r="X13" s="213"/>
      <c r="Y13" s="104"/>
      <c r="Z13" s="28"/>
      <c r="AA13" s="28"/>
      <c r="AB13" s="28"/>
      <c r="AC13" s="28"/>
      <c r="AD13" s="28"/>
      <c r="AE13" s="28"/>
      <c r="AF13" s="30"/>
    </row>
    <row r="14" ht="39.0" customHeight="1">
      <c r="B14" s="206">
        <v>2.0</v>
      </c>
      <c r="C14" s="207"/>
      <c r="D14" s="220" t="s">
        <v>141</v>
      </c>
      <c r="E14" s="209" t="s">
        <v>142</v>
      </c>
      <c r="F14" s="197" t="s">
        <v>143</v>
      </c>
      <c r="G14" s="198"/>
      <c r="H14" s="170" t="s">
        <v>144</v>
      </c>
      <c r="I14" s="221" t="s">
        <v>145</v>
      </c>
      <c r="J14" s="222"/>
      <c r="K14" s="223"/>
      <c r="L14" s="223"/>
      <c r="M14" s="223"/>
      <c r="N14" s="224" t="s">
        <v>115</v>
      </c>
      <c r="O14" s="84"/>
      <c r="P14" s="84"/>
      <c r="Q14" s="84"/>
      <c r="R14" s="90"/>
      <c r="S14" s="211"/>
      <c r="T14" s="212"/>
      <c r="X14" s="213"/>
      <c r="Y14" s="99"/>
      <c r="Z14" s="51"/>
      <c r="AA14" s="51"/>
      <c r="AB14" s="51"/>
      <c r="AC14" s="51"/>
      <c r="AD14" s="51"/>
      <c r="AE14" s="51"/>
      <c r="AF14" s="55"/>
    </row>
    <row r="15" ht="48.75" customHeight="1">
      <c r="B15" s="206">
        <v>3.0</v>
      </c>
      <c r="C15" s="207"/>
      <c r="D15" s="220" t="s">
        <v>146</v>
      </c>
      <c r="E15" s="209" t="s">
        <v>147</v>
      </c>
      <c r="F15" s="209" t="s">
        <v>148</v>
      </c>
      <c r="G15" s="168"/>
      <c r="H15" s="58"/>
      <c r="I15" s="221" t="s">
        <v>149</v>
      </c>
      <c r="J15" s="199"/>
      <c r="K15" s="200"/>
      <c r="L15" s="200"/>
      <c r="M15" s="200"/>
      <c r="O15" s="200"/>
      <c r="P15" s="200"/>
      <c r="Q15" s="201" t="s">
        <v>143</v>
      </c>
      <c r="R15" s="202"/>
      <c r="S15" s="211"/>
      <c r="T15" s="212"/>
      <c r="X15" s="213"/>
      <c r="Y15" s="104"/>
      <c r="Z15" s="28"/>
      <c r="AA15" s="28"/>
      <c r="AB15" s="28"/>
      <c r="AC15" s="28"/>
      <c r="AD15" s="28"/>
      <c r="AE15" s="28"/>
      <c r="AF15" s="30"/>
    </row>
    <row r="16" ht="43.5" customHeight="1">
      <c r="B16" s="206">
        <v>4.0</v>
      </c>
      <c r="C16" s="207"/>
      <c r="D16" s="225" t="s">
        <v>150</v>
      </c>
      <c r="E16" s="226" t="s">
        <v>151</v>
      </c>
      <c r="F16" s="226" t="s">
        <v>152</v>
      </c>
      <c r="G16" s="168"/>
      <c r="H16" s="210" t="s">
        <v>153</v>
      </c>
      <c r="R16" s="130"/>
      <c r="S16" s="211"/>
      <c r="T16" s="212"/>
      <c r="X16" s="213"/>
      <c r="Y16" s="104"/>
      <c r="Z16" s="28"/>
      <c r="AA16" s="28"/>
      <c r="AB16" s="28"/>
      <c r="AC16" s="28"/>
      <c r="AD16" s="28"/>
      <c r="AE16" s="28"/>
      <c r="AF16" s="30"/>
    </row>
    <row r="17" ht="43.5" customHeight="1">
      <c r="B17" s="206">
        <v>5.0</v>
      </c>
      <c r="C17" s="207"/>
      <c r="D17" s="227" t="s">
        <v>154</v>
      </c>
      <c r="E17" s="227" t="s">
        <v>155</v>
      </c>
      <c r="F17" s="227" t="s">
        <v>156</v>
      </c>
      <c r="G17" s="168"/>
      <c r="H17" s="170" t="s">
        <v>157</v>
      </c>
      <c r="I17" s="172" t="s">
        <v>158</v>
      </c>
      <c r="J17" s="222"/>
      <c r="K17" s="223"/>
      <c r="L17" s="223"/>
      <c r="M17" s="223"/>
      <c r="N17" s="224" t="s">
        <v>115</v>
      </c>
      <c r="O17" s="84"/>
      <c r="P17" s="84"/>
      <c r="Q17" s="84"/>
      <c r="R17" s="90"/>
      <c r="S17" s="211"/>
      <c r="T17" s="144"/>
      <c r="U17" s="84"/>
      <c r="V17" s="84"/>
      <c r="W17" s="84"/>
      <c r="X17" s="81"/>
      <c r="Y17" s="104"/>
      <c r="Z17" s="28"/>
      <c r="AA17" s="28"/>
      <c r="AB17" s="28"/>
      <c r="AC17" s="28"/>
      <c r="AD17" s="28"/>
      <c r="AE17" s="28"/>
      <c r="AF17" s="30"/>
    </row>
    <row r="18" ht="44.25" customHeight="1">
      <c r="B18" s="228"/>
      <c r="C18" s="228"/>
      <c r="D18" s="228"/>
      <c r="E18" s="228"/>
      <c r="F18" s="228"/>
      <c r="G18" s="168"/>
      <c r="H18" s="58"/>
      <c r="I18" s="172" t="s">
        <v>159</v>
      </c>
      <c r="J18" s="199"/>
      <c r="K18" s="200"/>
      <c r="L18" s="200"/>
      <c r="M18" s="200"/>
      <c r="N18" s="229"/>
      <c r="O18" s="229"/>
      <c r="P18" s="230"/>
      <c r="Q18" s="201" t="s">
        <v>148</v>
      </c>
      <c r="R18" s="231"/>
      <c r="S18" s="232"/>
      <c r="T18" s="233"/>
      <c r="U18" s="233"/>
      <c r="V18" s="234"/>
      <c r="W18" s="184" t="s">
        <v>160</v>
      </c>
      <c r="X18" s="235"/>
      <c r="Y18" s="28"/>
      <c r="Z18" s="28"/>
      <c r="AA18" s="28"/>
      <c r="AB18" s="28"/>
      <c r="AC18" s="28"/>
      <c r="AD18" s="28"/>
      <c r="AE18" s="28"/>
      <c r="AF18" s="30"/>
    </row>
    <row r="19" ht="35.25" customHeight="1">
      <c r="B19" s="236"/>
      <c r="C19" s="236"/>
      <c r="D19" s="236"/>
      <c r="E19" s="236"/>
      <c r="F19" s="236"/>
      <c r="G19" s="168"/>
      <c r="H19" s="210" t="s">
        <v>161</v>
      </c>
      <c r="R19" s="130"/>
      <c r="S19" s="237"/>
      <c r="T19" s="237"/>
      <c r="U19" s="237"/>
      <c r="V19" s="237"/>
      <c r="W19" s="237"/>
      <c r="X19" s="238"/>
      <c r="Y19" s="104"/>
      <c r="Z19" s="28"/>
      <c r="AA19" s="28"/>
      <c r="AB19" s="28"/>
      <c r="AC19" s="28"/>
      <c r="AD19" s="28"/>
      <c r="AE19" s="28"/>
      <c r="AF19" s="30"/>
    </row>
    <row r="20" ht="41.25" customHeight="1">
      <c r="B20" s="239"/>
      <c r="C20" s="239"/>
      <c r="D20" s="239"/>
      <c r="E20" s="239"/>
      <c r="F20" s="239"/>
      <c r="G20" s="168"/>
      <c r="H20" s="170" t="s">
        <v>162</v>
      </c>
      <c r="I20" s="172" t="s">
        <v>163</v>
      </c>
      <c r="J20" s="240"/>
      <c r="K20" s="223"/>
      <c r="L20" s="223"/>
      <c r="M20" s="223"/>
      <c r="N20" s="224" t="s">
        <v>115</v>
      </c>
      <c r="O20" s="84"/>
      <c r="P20" s="84"/>
      <c r="Q20" s="84"/>
      <c r="R20" s="90"/>
      <c r="S20" s="241"/>
      <c r="T20" s="234"/>
      <c r="U20" s="234"/>
      <c r="V20" s="234"/>
      <c r="W20" s="184" t="s">
        <v>118</v>
      </c>
      <c r="X20" s="235"/>
      <c r="Y20" s="51"/>
      <c r="Z20" s="51"/>
      <c r="AA20" s="51"/>
      <c r="AB20" s="51"/>
      <c r="AC20" s="51"/>
      <c r="AD20" s="51"/>
      <c r="AE20" s="51"/>
      <c r="AF20" s="55"/>
    </row>
    <row r="21" ht="46.5" customHeight="1">
      <c r="B21" s="239"/>
      <c r="C21" s="239"/>
      <c r="D21" s="239"/>
      <c r="E21" s="239"/>
      <c r="F21" s="239"/>
      <c r="G21" s="198"/>
      <c r="H21" s="189"/>
      <c r="I21" s="172" t="s">
        <v>164</v>
      </c>
      <c r="J21" s="174"/>
      <c r="K21" s="175"/>
      <c r="L21" s="175"/>
      <c r="M21" s="175"/>
      <c r="N21" s="223"/>
      <c r="O21" s="223"/>
      <c r="P21" s="223"/>
      <c r="Q21" s="242" t="s">
        <v>152</v>
      </c>
      <c r="R21" s="243"/>
      <c r="S21" s="211"/>
      <c r="T21" s="244" t="s">
        <v>115</v>
      </c>
      <c r="U21" s="204"/>
      <c r="V21" s="204"/>
      <c r="W21" s="204"/>
      <c r="X21" s="205"/>
      <c r="Y21" s="126"/>
      <c r="Z21" s="126"/>
      <c r="AA21" s="126"/>
      <c r="AB21" s="126"/>
      <c r="AC21" s="126"/>
      <c r="AD21" s="126"/>
      <c r="AE21" s="126"/>
      <c r="AF21" s="126"/>
    </row>
    <row r="22" ht="48.0" customHeight="1">
      <c r="B22" s="239"/>
      <c r="C22" s="239"/>
      <c r="D22" s="239"/>
      <c r="E22" s="239"/>
      <c r="F22" s="239"/>
      <c r="G22" s="198"/>
      <c r="H22" s="245">
        <v>46331.0</v>
      </c>
      <c r="I22" s="172" t="s">
        <v>165</v>
      </c>
      <c r="J22" s="174"/>
      <c r="K22" s="175"/>
      <c r="L22" s="175"/>
      <c r="M22" s="175"/>
      <c r="N22" s="223"/>
      <c r="O22" s="223"/>
      <c r="P22" s="223"/>
      <c r="Q22" s="242" t="s">
        <v>156</v>
      </c>
      <c r="R22" s="243"/>
      <c r="S22" s="211"/>
      <c r="T22" s="144"/>
      <c r="U22" s="84"/>
      <c r="V22" s="84"/>
      <c r="W22" s="84"/>
      <c r="X22" s="81"/>
      <c r="Y22" s="126"/>
      <c r="Z22" s="126"/>
      <c r="AA22" s="126"/>
      <c r="AB22" s="126"/>
      <c r="AC22" s="126"/>
      <c r="AD22" s="126"/>
      <c r="AE22" s="126"/>
      <c r="AF22" s="126"/>
    </row>
    <row r="23" ht="66.0" customHeight="1">
      <c r="B23" s="239"/>
      <c r="C23" s="239"/>
      <c r="D23" s="239"/>
      <c r="E23" s="239"/>
      <c r="F23" s="239"/>
      <c r="G23" s="198"/>
      <c r="H23" s="246" t="s">
        <v>166</v>
      </c>
      <c r="I23" s="161"/>
      <c r="J23" s="247">
        <f>SUM(K10:L17,K20:L22)</f>
        <v>0</v>
      </c>
      <c r="K23" s="248"/>
      <c r="L23" s="248"/>
      <c r="M23" s="249"/>
      <c r="N23" s="247" t="str">
        <f>SUM(#REF!,R12,R15,R18,R21,R22)</f>
        <v>#REF!</v>
      </c>
      <c r="O23" s="248"/>
      <c r="P23" s="248"/>
      <c r="Q23" s="248"/>
      <c r="R23" s="250"/>
      <c r="S23" s="251"/>
      <c r="T23" s="252" t="str">
        <f>SUM(X10,X18,X20,#REF!)</f>
        <v>#REF!</v>
      </c>
      <c r="U23" s="253"/>
      <c r="V23" s="253"/>
      <c r="W23" s="253"/>
      <c r="X23" s="254"/>
      <c r="Y23" s="126"/>
      <c r="Z23" s="126"/>
      <c r="AA23" s="126"/>
      <c r="AB23" s="126"/>
      <c r="AC23" s="126"/>
      <c r="AD23" s="126"/>
      <c r="AE23" s="126"/>
      <c r="AF23" s="126"/>
    </row>
    <row r="24" ht="66.0" customHeight="1">
      <c r="B24" s="239"/>
      <c r="C24" s="239"/>
      <c r="D24" s="239"/>
      <c r="E24" s="239"/>
      <c r="F24" s="239"/>
      <c r="G24" s="255"/>
      <c r="H24" s="256"/>
      <c r="I24" s="256"/>
      <c r="J24" s="256"/>
      <c r="K24" s="256"/>
      <c r="L24" s="256"/>
      <c r="M24" s="256"/>
      <c r="N24" s="256"/>
      <c r="O24" s="256"/>
      <c r="P24" s="256"/>
      <c r="Q24" s="256"/>
      <c r="R24" s="256"/>
      <c r="S24" s="68"/>
      <c r="T24" s="68"/>
      <c r="U24" s="68"/>
      <c r="V24" s="68"/>
      <c r="W24" s="68"/>
      <c r="X24" s="68"/>
      <c r="Y24" s="126"/>
      <c r="Z24" s="126"/>
      <c r="AA24" s="126"/>
      <c r="AB24" s="126"/>
      <c r="AC24" s="126"/>
      <c r="AD24" s="126"/>
      <c r="AE24" s="126"/>
      <c r="AF24" s="126"/>
    </row>
  </sheetData>
  <mergeCells count="45">
    <mergeCell ref="N11:R11"/>
    <mergeCell ref="T12:X17"/>
    <mergeCell ref="N14:R14"/>
    <mergeCell ref="N17:R17"/>
    <mergeCell ref="H10:H12"/>
    <mergeCell ref="H14:H15"/>
    <mergeCell ref="B15:C15"/>
    <mergeCell ref="B16:C16"/>
    <mergeCell ref="B14:C14"/>
    <mergeCell ref="B17:C17"/>
    <mergeCell ref="H17:H18"/>
    <mergeCell ref="H19:R19"/>
    <mergeCell ref="H20:H21"/>
    <mergeCell ref="N20:R20"/>
    <mergeCell ref="T21:X22"/>
    <mergeCell ref="H23:I23"/>
    <mergeCell ref="J23:M23"/>
    <mergeCell ref="N23:R23"/>
    <mergeCell ref="T23:X23"/>
    <mergeCell ref="A1:AF1"/>
    <mergeCell ref="A2:AF2"/>
    <mergeCell ref="A3:AF3"/>
    <mergeCell ref="A4:W4"/>
    <mergeCell ref="A5:A24"/>
    <mergeCell ref="H5:R5"/>
    <mergeCell ref="H16:R16"/>
    <mergeCell ref="B6:F6"/>
    <mergeCell ref="B7:C9"/>
    <mergeCell ref="D7:E7"/>
    <mergeCell ref="D8:E8"/>
    <mergeCell ref="D9:E9"/>
    <mergeCell ref="H7:H8"/>
    <mergeCell ref="I7:I8"/>
    <mergeCell ref="J7:M7"/>
    <mergeCell ref="N7:R7"/>
    <mergeCell ref="T7:X7"/>
    <mergeCell ref="Q8:R8"/>
    <mergeCell ref="W8:X8"/>
    <mergeCell ref="B5:F5"/>
    <mergeCell ref="B10:C11"/>
    <mergeCell ref="D10:E10"/>
    <mergeCell ref="H9:R9"/>
    <mergeCell ref="N10:R10"/>
    <mergeCell ref="B13:C13"/>
    <mergeCell ref="H13:R13"/>
  </mergeCells>
  <dataValidations>
    <dataValidation type="list" allowBlank="1" showErrorMessage="1" sqref="W10:W11 W18 W20">
      <formula1>"Nộp bài trễ (≤3h) + thiếu nội dung,Nộp trễ (≤3h) + Đầy đủ nội dung,Nộp đúng hạn + Thiếu nội dung,Nộp đúng hạn + Đủ nội dung tối thiểu,Nộp đúng hạn + Vượt yêu cầu (có mở rộng)"</formula1>
    </dataValidation>
    <dataValidation type="list" allowBlank="1" showErrorMessage="1" sqref="Q12 Q15 Q18 Q21:Q22">
      <formula1>"Không nộp,Nộp trễ (≥3h) ,Nộp bài trễ (≤3h) + thiếu nội dung,Nộp trễ (≤3h) + Đầy đủ nội dung,Nộp đúng hạn + Thiếu nội dung,Nộp đúng hạn + Đầy đủ nội dung"</formula1>
    </dataValidation>
  </dataValidations>
  <printOptions gridLines="1" horizontalCentered="1"/>
  <pageMargins bottom="0.75" footer="0.0" header="0.0" left="0.7" right="0.7" top="0.75"/>
  <pageSetup fitToHeight="0" cellComments="atEnd" orientation="landscape" pageOrder="overThenDown"/>
  <drawing r:id="rId1"/>
</worksheet>
</file>